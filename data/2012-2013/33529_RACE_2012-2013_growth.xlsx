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L179" i="1" l="1"/>
  <c r="L178" i="1"/>
  <c r="L177" i="1"/>
  <c r="M176" i="1"/>
  <c r="L176" i="1"/>
  <c r="L175" i="1"/>
  <c r="N174" i="1"/>
  <c r="M174" i="1"/>
  <c r="L174" i="1"/>
  <c r="L173" i="1"/>
  <c r="L172" i="1"/>
  <c r="L170" i="1"/>
  <c r="M168" i="1"/>
  <c r="L168" i="1"/>
  <c r="M167" i="1"/>
  <c r="L167" i="1"/>
  <c r="M166" i="1"/>
  <c r="L166" i="1"/>
  <c r="O164" i="1"/>
  <c r="L164" i="1"/>
  <c r="M163" i="1"/>
  <c r="L163" i="1"/>
  <c r="M162" i="1"/>
  <c r="L162" i="1"/>
  <c r="M161" i="1"/>
  <c r="L161" i="1"/>
  <c r="M159" i="1"/>
  <c r="L159" i="1"/>
  <c r="M157" i="1"/>
  <c r="L157" i="1"/>
  <c r="M154" i="1"/>
  <c r="L154" i="1"/>
  <c r="M153" i="1"/>
  <c r="L153" i="1"/>
  <c r="N152" i="1"/>
  <c r="M152" i="1"/>
  <c r="L152" i="1"/>
  <c r="L151" i="1"/>
  <c r="L150" i="1"/>
  <c r="O149" i="1"/>
  <c r="N149" i="1"/>
  <c r="M149" i="1"/>
  <c r="L149" i="1"/>
  <c r="N148" i="1"/>
  <c r="M148" i="1"/>
  <c r="L148" i="1"/>
  <c r="L147" i="1"/>
  <c r="O146" i="1"/>
  <c r="N146" i="1"/>
  <c r="M146" i="1"/>
  <c r="O145" i="1"/>
  <c r="N145" i="1"/>
  <c r="M145" i="1"/>
  <c r="N144" i="1"/>
  <c r="M144" i="1"/>
  <c r="L144" i="1"/>
  <c r="M143" i="1"/>
  <c r="L143" i="1"/>
  <c r="N142" i="1"/>
  <c r="M142" i="1"/>
  <c r="N141" i="1"/>
  <c r="M141" i="1"/>
  <c r="L141" i="1"/>
  <c r="L140" i="1"/>
  <c r="M139" i="1"/>
  <c r="L139" i="1"/>
  <c r="M137" i="1"/>
  <c r="L137" i="1"/>
  <c r="L136" i="1"/>
  <c r="O135" i="1"/>
  <c r="N135" i="1"/>
  <c r="M135" i="1"/>
  <c r="L135" i="1"/>
  <c r="M133" i="1"/>
  <c r="M132" i="1"/>
  <c r="L132" i="1"/>
  <c r="M131" i="1"/>
  <c r="L131" i="1"/>
  <c r="M130" i="1"/>
  <c r="L130" i="1"/>
  <c r="M129" i="1"/>
  <c r="L129" i="1"/>
  <c r="L128" i="1"/>
  <c r="M127" i="1"/>
  <c r="L127" i="1"/>
  <c r="N126" i="1"/>
  <c r="M126" i="1"/>
  <c r="L126" i="1"/>
  <c r="L125" i="1"/>
  <c r="L124" i="1"/>
  <c r="N123" i="1"/>
  <c r="M122" i="1"/>
  <c r="L122" i="1"/>
  <c r="O121" i="1"/>
  <c r="N121" i="1"/>
  <c r="M119" i="1"/>
  <c r="L119" i="1"/>
  <c r="M118" i="1"/>
  <c r="L118" i="1"/>
  <c r="M117" i="1"/>
  <c r="L117" i="1"/>
  <c r="M115" i="1"/>
  <c r="L115" i="1"/>
  <c r="M114" i="1"/>
  <c r="M113" i="1"/>
  <c r="L113" i="1"/>
  <c r="M112" i="1"/>
  <c r="L112" i="1"/>
  <c r="M111" i="1"/>
  <c r="L111" i="1"/>
  <c r="M110" i="1"/>
  <c r="L110" i="1"/>
  <c r="N109" i="1"/>
  <c r="M109" i="1"/>
  <c r="L109" i="1"/>
  <c r="M108" i="1"/>
  <c r="M107" i="1"/>
  <c r="L107" i="1"/>
  <c r="M106" i="1"/>
  <c r="L106" i="1"/>
  <c r="M105" i="1"/>
  <c r="L105" i="1"/>
  <c r="L103" i="1"/>
  <c r="M101" i="1"/>
  <c r="L100" i="1"/>
  <c r="N99" i="1"/>
  <c r="M99" i="1"/>
  <c r="L99" i="1"/>
  <c r="N98" i="1"/>
  <c r="M98" i="1"/>
  <c r="O97" i="1"/>
  <c r="N97" i="1"/>
  <c r="M97" i="1"/>
  <c r="L97" i="1"/>
  <c r="L96" i="1"/>
  <c r="N95" i="1"/>
  <c r="M95" i="1"/>
  <c r="L95" i="1"/>
  <c r="L93" i="1"/>
  <c r="N92" i="1"/>
  <c r="M89" i="1"/>
  <c r="L89" i="1"/>
  <c r="L87" i="1"/>
  <c r="M86" i="1"/>
  <c r="M85" i="1"/>
  <c r="L85" i="1"/>
  <c r="N84" i="1"/>
  <c r="M84" i="1"/>
  <c r="L84" i="1"/>
  <c r="M83" i="1"/>
  <c r="L83" i="1"/>
  <c r="N82" i="1"/>
  <c r="M82" i="1"/>
  <c r="L82" i="1"/>
  <c r="L81" i="1"/>
  <c r="L80" i="1"/>
  <c r="M79" i="1"/>
  <c r="L79" i="1"/>
  <c r="L78" i="1"/>
  <c r="M77" i="1"/>
  <c r="L77" i="1"/>
  <c r="N76" i="1"/>
  <c r="M76" i="1"/>
  <c r="L76" i="1"/>
  <c r="M75" i="1"/>
  <c r="L75" i="1"/>
  <c r="M74" i="1"/>
  <c r="L74" i="1"/>
  <c r="N73" i="1"/>
  <c r="M73" i="1"/>
  <c r="L73" i="1"/>
  <c r="N72" i="1"/>
  <c r="M72" i="1"/>
  <c r="L72" i="1"/>
  <c r="M71" i="1"/>
  <c r="L71" i="1"/>
  <c r="L68" i="1"/>
  <c r="L67" i="1"/>
  <c r="N66" i="1"/>
  <c r="M66" i="1"/>
  <c r="L66" i="1"/>
  <c r="M65" i="1"/>
  <c r="L65" i="1"/>
  <c r="N64" i="1"/>
  <c r="M64" i="1"/>
  <c r="L64" i="1"/>
  <c r="M63" i="1"/>
  <c r="L63" i="1"/>
  <c r="M62" i="1"/>
  <c r="L62" i="1"/>
  <c r="M61" i="1"/>
  <c r="L61" i="1"/>
  <c r="M60" i="1"/>
  <c r="L60" i="1"/>
  <c r="N59" i="1"/>
  <c r="M59" i="1"/>
  <c r="L59" i="1"/>
  <c r="P56" i="1"/>
  <c r="O56" i="1"/>
  <c r="N56" i="1"/>
  <c r="M56" i="1"/>
  <c r="L56" i="1"/>
  <c r="N55" i="1"/>
  <c r="M55" i="1"/>
  <c r="L55" i="1"/>
  <c r="O54" i="1"/>
  <c r="N54" i="1"/>
  <c r="M54" i="1"/>
  <c r="L54" i="1"/>
  <c r="M52" i="1"/>
  <c r="L52" i="1"/>
  <c r="L51" i="1"/>
  <c r="M50" i="1"/>
  <c r="L50" i="1"/>
  <c r="M49" i="1"/>
  <c r="L49" i="1"/>
  <c r="M48" i="1"/>
  <c r="L48" i="1"/>
  <c r="M47" i="1"/>
  <c r="L47" i="1"/>
  <c r="M46" i="1"/>
  <c r="L46" i="1"/>
  <c r="N45" i="1"/>
  <c r="M45" i="1"/>
  <c r="L45" i="1"/>
  <c r="M44" i="1"/>
  <c r="L44" i="1"/>
  <c r="L43" i="1"/>
  <c r="L42" i="1"/>
  <c r="P41" i="1"/>
  <c r="O41" i="1"/>
  <c r="N41" i="1"/>
  <c r="M41" i="1"/>
  <c r="L41" i="1"/>
  <c r="N40" i="1"/>
  <c r="N39" i="1"/>
  <c r="M39" i="1"/>
  <c r="L39" i="1"/>
  <c r="M38" i="1"/>
  <c r="L38" i="1"/>
  <c r="N37" i="1"/>
  <c r="M37" i="1"/>
  <c r="L37" i="1"/>
  <c r="M36" i="1"/>
  <c r="L36" i="1"/>
  <c r="L35" i="1"/>
  <c r="M34" i="1"/>
  <c r="L34" i="1"/>
  <c r="O33" i="1"/>
  <c r="N33" i="1"/>
  <c r="M33" i="1"/>
  <c r="L33" i="1"/>
  <c r="O32" i="1"/>
  <c r="N32" i="1"/>
  <c r="M32" i="1"/>
  <c r="L32" i="1"/>
  <c r="M31" i="1"/>
  <c r="L31" i="1"/>
  <c r="N30" i="1"/>
  <c r="M30" i="1"/>
  <c r="L30" i="1"/>
  <c r="N29" i="1"/>
  <c r="M29" i="1"/>
  <c r="L29" i="1"/>
  <c r="N28" i="1"/>
  <c r="M28" i="1"/>
  <c r="L28" i="1"/>
  <c r="M27" i="1"/>
  <c r="L27" i="1"/>
  <c r="L26" i="1"/>
  <c r="L25" i="1"/>
  <c r="M24" i="1"/>
  <c r="L24" i="1"/>
  <c r="M23" i="1"/>
  <c r="L23" i="1"/>
  <c r="M21" i="1"/>
  <c r="L21" i="1"/>
  <c r="M20" i="1"/>
  <c r="L20" i="1"/>
  <c r="N19" i="1"/>
  <c r="M19" i="1"/>
  <c r="L19" i="1"/>
  <c r="L17" i="1"/>
  <c r="L16" i="1"/>
  <c r="M15" i="1"/>
  <c r="L15" i="1"/>
  <c r="M14" i="1"/>
  <c r="L14" i="1"/>
  <c r="N13" i="1"/>
  <c r="M13" i="1"/>
  <c r="L13" i="1"/>
  <c r="L12" i="1"/>
  <c r="N11" i="1"/>
  <c r="M11" i="1"/>
  <c r="L11" i="1"/>
  <c r="L10" i="1"/>
  <c r="M9" i="1"/>
  <c r="L9" i="1"/>
  <c r="N8" i="1"/>
  <c r="M8" i="1"/>
  <c r="L8" i="1"/>
  <c r="N7" i="1"/>
  <c r="M6" i="1"/>
  <c r="L6" i="1"/>
  <c r="M5" i="1"/>
  <c r="L5" i="1"/>
  <c r="N4" i="1"/>
  <c r="M4" i="1"/>
  <c r="L4" i="1"/>
  <c r="N3" i="1"/>
  <c r="M3" i="1"/>
  <c r="L3" i="1"/>
</calcChain>
</file>

<file path=xl/sharedStrings.xml><?xml version="1.0" encoding="utf-8"?>
<sst xmlns="http://schemas.openxmlformats.org/spreadsheetml/2006/main" count="285" uniqueCount="21">
  <si>
    <t>Tub</t>
  </si>
  <si>
    <t>Insert #</t>
  </si>
  <si>
    <t>Treatment pH</t>
  </si>
  <si>
    <t>Treatment temp C</t>
  </si>
  <si>
    <t>Initial CL mm</t>
  </si>
  <si>
    <t>CL 1 mm</t>
  </si>
  <si>
    <t>CL 2 mm</t>
  </si>
  <si>
    <t>CL 3 mm</t>
  </si>
  <si>
    <t>CL 4 mm</t>
  </si>
  <si>
    <t>CL 5 mm</t>
  </si>
  <si>
    <t>End CL mm</t>
  </si>
  <si>
    <t>% increase initial &amp; CL1</t>
  </si>
  <si>
    <t>% increase CL1 &amp; CL2</t>
  </si>
  <si>
    <t>% increase CL2 &amp; CL3</t>
  </si>
  <si>
    <t>% increase CL3 &amp; CL4</t>
  </si>
  <si>
    <t>% increase CL4 &amp; CL5</t>
  </si>
  <si>
    <t>Ambient</t>
  </si>
  <si>
    <t xml:space="preserve">Ambient </t>
  </si>
  <si>
    <t>Ambient +4</t>
  </si>
  <si>
    <t>Ambient +2</t>
  </si>
  <si>
    <t xml:space="preserve">2.972134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</si>
</sst>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6">
    <xf numFmtId="0" fontId="0" fillId="0" borderId="0" xfId="0"/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1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1" fillId="0" borderId="0" xfId="2" applyNumberFormat="1" applyFont="1" applyAlignment="1">
      <alignment horizontal="center"/>
    </xf>
    <xf numFmtId="165" fontId="1" fillId="0" borderId="0" xfId="3" applyNumberFormat="1" applyFont="1" applyAlignment="1">
      <alignment horizontal="center"/>
    </xf>
    <xf numFmtId="165" fontId="1" fillId="0" borderId="0" xfId="4" applyNumberFormat="1" applyFont="1" applyAlignment="1">
      <alignment horizontal="center"/>
    </xf>
    <xf numFmtId="165" fontId="1" fillId="0" borderId="0" xfId="5" applyNumberFormat="1" applyFont="1" applyAlignment="1">
      <alignment horizontal="center"/>
    </xf>
    <xf numFmtId="0" fontId="1" fillId="0" borderId="0" xfId="5" applyFont="1" applyAlignment="1">
      <alignment horizontal="center"/>
    </xf>
    <xf numFmtId="165" fontId="1" fillId="0" borderId="0" xfId="6" applyNumberFormat="1" applyFont="1" applyAlignment="1">
      <alignment horizontal="center"/>
    </xf>
    <xf numFmtId="165" fontId="1" fillId="0" borderId="0" xfId="7" applyNumberFormat="1" applyFont="1" applyAlignment="1">
      <alignment horizontal="center"/>
    </xf>
    <xf numFmtId="164" fontId="1" fillId="0" borderId="0" xfId="8" applyNumberFormat="1" applyFont="1" applyAlignment="1">
      <alignment horizontal="center"/>
    </xf>
    <xf numFmtId="165" fontId="1" fillId="0" borderId="0" xfId="9" applyNumberFormat="1" applyFont="1" applyAlignment="1">
      <alignment horizontal="center"/>
    </xf>
    <xf numFmtId="165" fontId="1" fillId="0" borderId="0" xfId="10" applyNumberFormat="1" applyFont="1" applyAlignment="1">
      <alignment horizontal="center"/>
    </xf>
    <xf numFmtId="165" fontId="3" fillId="0" borderId="0" xfId="0" applyNumberFormat="1" applyFont="1" applyFill="1" applyAlignment="1">
      <alignment horizontal="center"/>
    </xf>
    <xf numFmtId="164" fontId="1" fillId="0" borderId="0" xfId="11" applyNumberFormat="1" applyFont="1" applyAlignment="1">
      <alignment horizontal="center"/>
    </xf>
    <xf numFmtId="164" fontId="1" fillId="0" borderId="0" xfId="12" applyNumberFormat="1" applyFont="1" applyAlignment="1">
      <alignment horizontal="center"/>
    </xf>
    <xf numFmtId="165" fontId="1" fillId="0" borderId="0" xfId="13" applyNumberFormat="1" applyFont="1" applyAlignment="1">
      <alignment horizontal="center"/>
    </xf>
    <xf numFmtId="164" fontId="1" fillId="0" borderId="0" xfId="3" applyNumberFormat="1" applyFont="1" applyAlignment="1">
      <alignment horizontal="center"/>
    </xf>
    <xf numFmtId="165" fontId="1" fillId="0" borderId="0" xfId="2" applyNumberFormat="1" applyFont="1" applyAlignment="1">
      <alignment horizontal="center"/>
    </xf>
    <xf numFmtId="1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4" fontId="1" fillId="0" borderId="0" xfId="12" applyNumberFormat="1" applyFont="1" applyFill="1" applyAlignment="1">
      <alignment horizontal="center"/>
    </xf>
    <xf numFmtId="165" fontId="1" fillId="0" borderId="0" xfId="2" applyNumberFormat="1" applyFont="1" applyFill="1" applyAlignment="1">
      <alignment horizontal="center"/>
    </xf>
    <xf numFmtId="165" fontId="1" fillId="0" borderId="0" xfId="3" applyNumberFormat="1" applyFont="1" applyFill="1" applyAlignment="1">
      <alignment horizontal="center"/>
    </xf>
    <xf numFmtId="165" fontId="1" fillId="0" borderId="0" xfId="7" applyNumberFormat="1" applyFont="1" applyFill="1" applyAlignment="1">
      <alignment horizontal="center"/>
    </xf>
    <xf numFmtId="165" fontId="1" fillId="0" borderId="0" xfId="5" applyNumberFormat="1" applyFont="1" applyFill="1" applyAlignment="1">
      <alignment horizontal="center"/>
    </xf>
    <xf numFmtId="164" fontId="1" fillId="0" borderId="0" xfId="8" applyNumberFormat="1" applyFont="1" applyFill="1" applyAlignment="1">
      <alignment horizontal="center"/>
    </xf>
    <xf numFmtId="165" fontId="1" fillId="0" borderId="0" xfId="6" applyNumberFormat="1" applyFont="1" applyFill="1" applyAlignment="1">
      <alignment horizontal="center"/>
    </xf>
    <xf numFmtId="165" fontId="1" fillId="0" borderId="0" xfId="13" applyNumberFormat="1" applyFont="1" applyFill="1" applyAlignment="1">
      <alignment horizontal="center"/>
    </xf>
    <xf numFmtId="165" fontId="1" fillId="0" borderId="0" xfId="4" applyNumberFormat="1" applyFont="1" applyFill="1" applyAlignment="1">
      <alignment horizontal="center"/>
    </xf>
    <xf numFmtId="164" fontId="1" fillId="0" borderId="0" xfId="11" applyNumberFormat="1" applyFont="1" applyFill="1" applyAlignment="1">
      <alignment horizontal="center"/>
    </xf>
    <xf numFmtId="164" fontId="1" fillId="0" borderId="0" xfId="1" applyNumberFormat="1" applyFont="1" applyFill="1" applyAlignment="1">
      <alignment horizontal="center"/>
    </xf>
    <xf numFmtId="165" fontId="1" fillId="0" borderId="0" xfId="14" applyNumberFormat="1" applyFont="1" applyFill="1" applyAlignment="1">
      <alignment horizontal="center"/>
    </xf>
    <xf numFmtId="165" fontId="1" fillId="0" borderId="0" xfId="10" applyNumberFormat="1" applyFont="1" applyFill="1" applyAlignment="1">
      <alignment horizontal="center"/>
    </xf>
    <xf numFmtId="165" fontId="1" fillId="0" borderId="0" xfId="9" applyNumberFormat="1" applyFont="1" applyFill="1" applyAlignment="1">
      <alignment horizontal="center"/>
    </xf>
    <xf numFmtId="164" fontId="1" fillId="0" borderId="0" xfId="2" applyNumberFormat="1" applyFont="1" applyFill="1" applyAlignment="1">
      <alignment horizontal="center"/>
    </xf>
    <xf numFmtId="165" fontId="1" fillId="0" borderId="0" xfId="14" applyNumberFormat="1" applyFont="1" applyAlignment="1">
      <alignment horizontal="center"/>
    </xf>
    <xf numFmtId="165" fontId="1" fillId="0" borderId="0" xfId="15" applyNumberFormat="1" applyFont="1" applyAlignment="1">
      <alignment horizontal="center"/>
    </xf>
    <xf numFmtId="0" fontId="1" fillId="0" borderId="0" xfId="15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16" applyNumberFormat="1" applyFont="1" applyAlignment="1">
      <alignment horizontal="center"/>
    </xf>
    <xf numFmtId="165" fontId="1" fillId="0" borderId="0" xfId="17" applyNumberFormat="1" applyFont="1" applyAlignment="1">
      <alignment horizontal="center"/>
    </xf>
    <xf numFmtId="165" fontId="1" fillId="0" borderId="0" xfId="18" applyNumberFormat="1" applyFont="1" applyAlignment="1">
      <alignment horizontal="center"/>
    </xf>
    <xf numFmtId="164" fontId="1" fillId="0" borderId="0" xfId="4" applyNumberFormat="1" applyFont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5" fontId="1" fillId="0" borderId="0" xfId="15" applyNumberFormat="1" applyFont="1" applyFill="1" applyAlignment="1">
      <alignment horizontal="center"/>
    </xf>
    <xf numFmtId="0" fontId="1" fillId="0" borderId="0" xfId="8" applyFont="1" applyFill="1" applyAlignment="1">
      <alignment horizontal="center"/>
    </xf>
    <xf numFmtId="0" fontId="1" fillId="0" borderId="0" xfId="15" applyFont="1" applyFill="1" applyAlignment="1">
      <alignment horizontal="center"/>
    </xf>
    <xf numFmtId="164" fontId="1" fillId="0" borderId="0" xfId="9" applyNumberFormat="1" applyFont="1" applyAlignment="1">
      <alignment horizontal="center"/>
    </xf>
  </cellXfs>
  <cellStyles count="19">
    <cellStyle name="Normal" xfId="0" builtinId="0"/>
    <cellStyle name="Normal 10" xfId="3"/>
    <cellStyle name="Normal 10 2" xfId="18"/>
    <cellStyle name="Normal 11" xfId="13"/>
    <cellStyle name="Normal 12" xfId="10"/>
    <cellStyle name="Normal 13" xfId="17"/>
    <cellStyle name="Normal 15" xfId="14"/>
    <cellStyle name="Normal 16" xfId="7"/>
    <cellStyle name="Normal 18" xfId="4"/>
    <cellStyle name="Normal 2" xfId="11"/>
    <cellStyle name="Normal 20" xfId="5"/>
    <cellStyle name="Normal 21" xfId="15"/>
    <cellStyle name="Normal 3" xfId="12"/>
    <cellStyle name="Normal 4" xfId="16"/>
    <cellStyle name="Normal 5" xfId="8"/>
    <cellStyle name="Normal 6" xfId="1"/>
    <cellStyle name="Normal 7" xfId="2"/>
    <cellStyle name="Normal 8" xfId="6"/>
    <cellStyle name="Normal 9" xfId="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1"/>
  <sheetViews>
    <sheetView tabSelected="1" workbookViewId="0">
      <selection activeCell="Q10" sqref="Q10"/>
    </sheetView>
  </sheetViews>
  <sheetFormatPr defaultColWidth="9.109375" defaultRowHeight="14.4" x14ac:dyDescent="0.3"/>
  <cols>
    <col min="1" max="1" width="6.44140625" style="6" customWidth="1"/>
    <col min="2" max="2" width="7.5546875" style="7" bestFit="1" customWidth="1"/>
    <col min="3" max="4" width="16.6640625" style="7" customWidth="1"/>
    <col min="5" max="5" width="14.109375" style="46" customWidth="1"/>
    <col min="6" max="11" width="9.109375" style="9"/>
    <col min="12" max="12" width="12.44140625" style="9" customWidth="1"/>
    <col min="13" max="14" width="12.6640625" style="9" bestFit="1" customWidth="1"/>
    <col min="15" max="15" width="12" style="9" bestFit="1" customWidth="1"/>
    <col min="16" max="16" width="12.6640625" style="9" bestFit="1" customWidth="1"/>
    <col min="17" max="16384" width="9.109375" style="7"/>
  </cols>
  <sheetData>
    <row r="1" spans="1:16" s="5" customFormat="1" ht="33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" customHeight="1" x14ac:dyDescent="0.3">
      <c r="A2" s="6">
        <v>1</v>
      </c>
      <c r="B2" s="7">
        <v>1</v>
      </c>
      <c r="C2" s="7" t="s">
        <v>16</v>
      </c>
      <c r="D2" s="7" t="s">
        <v>17</v>
      </c>
      <c r="E2" s="8">
        <v>3.1112440000000001</v>
      </c>
    </row>
    <row r="3" spans="1:16" ht="15" customHeight="1" x14ac:dyDescent="0.3">
      <c r="A3" s="6">
        <v>1</v>
      </c>
      <c r="B3" s="7">
        <v>2</v>
      </c>
      <c r="C3" s="7" t="s">
        <v>16</v>
      </c>
      <c r="D3" s="7" t="s">
        <v>17</v>
      </c>
      <c r="E3" s="10">
        <v>2.7236600000000002</v>
      </c>
      <c r="F3" s="11">
        <v>3.7059700000000002</v>
      </c>
      <c r="G3" s="12">
        <v>3.7104919999999999</v>
      </c>
      <c r="H3" s="13">
        <v>4.0035220000000002</v>
      </c>
      <c r="K3" s="14">
        <v>4.0035220000000002</v>
      </c>
      <c r="L3" s="9">
        <f t="shared" ref="L3:N4" si="0">((F3-E3)/E3)*100</f>
        <v>36.065808507669821</v>
      </c>
      <c r="M3" s="9">
        <f t="shared" si="0"/>
        <v>0.1220193363680681</v>
      </c>
      <c r="N3" s="9">
        <f t="shared" si="0"/>
        <v>7.8973354476980511</v>
      </c>
    </row>
    <row r="4" spans="1:16" ht="15" customHeight="1" x14ac:dyDescent="0.3">
      <c r="A4" s="6">
        <v>1</v>
      </c>
      <c r="B4" s="7">
        <v>3</v>
      </c>
      <c r="C4" s="7" t="s">
        <v>16</v>
      </c>
      <c r="D4" s="7" t="s">
        <v>17</v>
      </c>
      <c r="E4" s="8">
        <v>3.2564150000000001</v>
      </c>
      <c r="F4" s="15">
        <v>3.7365300000000001</v>
      </c>
      <c r="G4" s="16">
        <v>3.7576480000000001</v>
      </c>
      <c r="H4" s="13">
        <v>4.0968400000000003</v>
      </c>
      <c r="K4" s="14">
        <v>4.0968400000000003</v>
      </c>
      <c r="L4" s="9">
        <f t="shared" si="0"/>
        <v>14.74366749938199</v>
      </c>
      <c r="M4" s="9">
        <f t="shared" si="0"/>
        <v>0.56517678166641161</v>
      </c>
      <c r="N4" s="9">
        <f t="shared" si="0"/>
        <v>9.0267103251821403</v>
      </c>
    </row>
    <row r="5" spans="1:16" ht="15" customHeight="1" x14ac:dyDescent="0.3">
      <c r="A5" s="6">
        <v>1</v>
      </c>
      <c r="B5" s="7">
        <v>4</v>
      </c>
      <c r="C5" s="7" t="s">
        <v>16</v>
      </c>
      <c r="D5" s="7" t="s">
        <v>17</v>
      </c>
      <c r="E5" s="17">
        <v>3.037058</v>
      </c>
      <c r="F5" s="18">
        <v>3.7660459999999998</v>
      </c>
      <c r="G5" s="18">
        <v>3.9385240000000001</v>
      </c>
      <c r="L5" s="9">
        <f>((F5-E5)/E5)*100</f>
        <v>24.003097734715627</v>
      </c>
      <c r="M5" s="9">
        <f>((G5-F5)/F5)*100</f>
        <v>4.5798166034084655</v>
      </c>
    </row>
    <row r="6" spans="1:16" ht="15" customHeight="1" x14ac:dyDescent="0.3">
      <c r="A6" s="6">
        <v>1</v>
      </c>
      <c r="B6" s="7">
        <v>5</v>
      </c>
      <c r="C6" s="7" t="s">
        <v>16</v>
      </c>
      <c r="D6" s="7" t="s">
        <v>17</v>
      </c>
      <c r="E6" s="10">
        <v>2.945964</v>
      </c>
      <c r="F6" s="11">
        <v>3.3282379999999998</v>
      </c>
      <c r="G6" s="13">
        <v>3.5981749999999999</v>
      </c>
      <c r="K6" s="14">
        <v>3.5981749999999999</v>
      </c>
      <c r="L6" s="9">
        <f>((F6-E6)/E6)*100</f>
        <v>12.976193870665078</v>
      </c>
      <c r="M6" s="9">
        <f>((G6-F6)/F6)*100</f>
        <v>8.1105077221040123</v>
      </c>
    </row>
    <row r="7" spans="1:16" ht="15" customHeight="1" x14ac:dyDescent="0.3">
      <c r="A7" s="6">
        <v>1</v>
      </c>
      <c r="B7" s="7">
        <v>6</v>
      </c>
      <c r="C7" s="7" t="s">
        <v>16</v>
      </c>
      <c r="D7" s="7" t="s">
        <v>17</v>
      </c>
      <c r="E7" s="8">
        <v>3.2336960000000001</v>
      </c>
      <c r="G7" s="12">
        <v>4.2358989999999999</v>
      </c>
      <c r="H7" s="13">
        <v>4.7245049999999997</v>
      </c>
      <c r="K7" s="14">
        <v>4.7245049999999997</v>
      </c>
      <c r="N7" s="9">
        <f>((H7-G7)/G7)*100</f>
        <v>11.534883149952345</v>
      </c>
    </row>
    <row r="8" spans="1:16" ht="15" customHeight="1" x14ac:dyDescent="0.3">
      <c r="A8" s="6">
        <v>1</v>
      </c>
      <c r="B8" s="7">
        <v>7</v>
      </c>
      <c r="C8" s="7" t="s">
        <v>16</v>
      </c>
      <c r="D8" s="7" t="s">
        <v>17</v>
      </c>
      <c r="E8" s="8">
        <v>3.141734</v>
      </c>
      <c r="F8" s="11">
        <v>3.6290209999999998</v>
      </c>
      <c r="G8" s="12">
        <v>3.7142309999999998</v>
      </c>
      <c r="H8" s="13">
        <v>4.0027600000000003</v>
      </c>
      <c r="K8" s="14">
        <v>4.0027600000000003</v>
      </c>
      <c r="L8" s="9">
        <f>((F8-E8)/E8)*100</f>
        <v>15.510129119779069</v>
      </c>
      <c r="M8" s="9">
        <f>((G8-F8)/F8)*100</f>
        <v>2.348016172956839</v>
      </c>
      <c r="N8" s="9">
        <f>((H8-G8)/G8)*100</f>
        <v>7.7682028931426315</v>
      </c>
    </row>
    <row r="9" spans="1:16" ht="15" customHeight="1" x14ac:dyDescent="0.3">
      <c r="A9" s="6">
        <v>1</v>
      </c>
      <c r="B9" s="7">
        <v>8</v>
      </c>
      <c r="C9" s="7" t="s">
        <v>16</v>
      </c>
      <c r="D9" s="7" t="s">
        <v>17</v>
      </c>
      <c r="E9" s="8">
        <v>3.1059420000000002</v>
      </c>
      <c r="F9" s="11">
        <v>3.6664020000000002</v>
      </c>
      <c r="G9" s="19">
        <v>3.7797459999999998</v>
      </c>
      <c r="L9" s="9">
        <f>((F9-E9)/E9)*100</f>
        <v>18.044767094813746</v>
      </c>
      <c r="M9" s="9">
        <f>((G9-F9)/F9)*100</f>
        <v>3.0914231445433331</v>
      </c>
    </row>
    <row r="10" spans="1:16" ht="15" customHeight="1" x14ac:dyDescent="0.3">
      <c r="A10" s="6">
        <v>1</v>
      </c>
      <c r="B10" s="7">
        <v>9</v>
      </c>
      <c r="C10" s="7" t="s">
        <v>16</v>
      </c>
      <c r="D10" s="7" t="s">
        <v>17</v>
      </c>
      <c r="E10" s="10">
        <v>2.8276539999999999</v>
      </c>
      <c r="F10" s="18">
        <v>3.231411</v>
      </c>
      <c r="L10" s="9">
        <f t="shared" ref="L10:L17" si="1">((F10-E10)/E10)*100</f>
        <v>14.278868631027706</v>
      </c>
    </row>
    <row r="11" spans="1:16" ht="15" customHeight="1" x14ac:dyDescent="0.3">
      <c r="A11" s="6">
        <v>1</v>
      </c>
      <c r="B11" s="7">
        <v>10</v>
      </c>
      <c r="C11" s="7" t="s">
        <v>16</v>
      </c>
      <c r="D11" s="7" t="s">
        <v>17</v>
      </c>
      <c r="E11" s="10">
        <v>3.2120160000000002</v>
      </c>
      <c r="F11" s="11">
        <v>3.6822300000000001</v>
      </c>
      <c r="G11" s="12">
        <v>3.9561920000000002</v>
      </c>
      <c r="H11" s="13">
        <v>3.904331</v>
      </c>
      <c r="K11" s="14">
        <v>3.904331</v>
      </c>
      <c r="L11" s="9">
        <f t="shared" si="1"/>
        <v>14.63921723926655</v>
      </c>
      <c r="M11" s="9">
        <f>((G11-F11)/F11)*100</f>
        <v>7.4401110196810087</v>
      </c>
      <c r="N11" s="20">
        <f>((H11-G11)/G11)*100</f>
        <v>-1.3108817772241628</v>
      </c>
    </row>
    <row r="12" spans="1:16" ht="15" customHeight="1" x14ac:dyDescent="0.3">
      <c r="A12" s="6">
        <v>1</v>
      </c>
      <c r="B12" s="7">
        <v>11</v>
      </c>
      <c r="C12" s="7" t="s">
        <v>16</v>
      </c>
      <c r="D12" s="7" t="s">
        <v>17</v>
      </c>
      <c r="E12" s="10">
        <v>3.1625719999999999</v>
      </c>
      <c r="F12" s="19">
        <v>3.6216940000000002</v>
      </c>
      <c r="L12" s="9">
        <f t="shared" si="1"/>
        <v>14.51736118576906</v>
      </c>
    </row>
    <row r="13" spans="1:16" ht="15" customHeight="1" x14ac:dyDescent="0.3">
      <c r="A13" s="6">
        <v>1</v>
      </c>
      <c r="B13" s="7">
        <v>12</v>
      </c>
      <c r="C13" s="7" t="s">
        <v>16</v>
      </c>
      <c r="D13" s="7" t="s">
        <v>17</v>
      </c>
      <c r="E13" s="21">
        <v>3.247824</v>
      </c>
      <c r="F13" s="15">
        <v>4.0795209999999997</v>
      </c>
      <c r="G13" s="19">
        <v>4.5946009999999999</v>
      </c>
      <c r="H13" s="13">
        <v>4.5847800000000003</v>
      </c>
      <c r="K13" s="14">
        <v>4.5847800000000003</v>
      </c>
      <c r="L13" s="9">
        <f t="shared" si="1"/>
        <v>25.607822345053172</v>
      </c>
      <c r="M13" s="9">
        <f>((G13-F13)/F13)*100</f>
        <v>12.625992120153329</v>
      </c>
      <c r="N13" s="20">
        <f>((H13-G13)/G13)*100</f>
        <v>-0.21375087847670854</v>
      </c>
    </row>
    <row r="14" spans="1:16" ht="15" customHeight="1" x14ac:dyDescent="0.3">
      <c r="A14" s="6">
        <v>1</v>
      </c>
      <c r="B14" s="7">
        <v>13</v>
      </c>
      <c r="C14" s="7" t="s">
        <v>16</v>
      </c>
      <c r="D14" s="7" t="s">
        <v>17</v>
      </c>
      <c r="E14" s="17">
        <v>3.264081</v>
      </c>
      <c r="F14" s="15">
        <v>3.8766919999999998</v>
      </c>
      <c r="G14" s="16">
        <v>4.191433</v>
      </c>
      <c r="L14" s="9">
        <f t="shared" si="1"/>
        <v>18.768253606451548</v>
      </c>
      <c r="M14" s="9">
        <f>((G14-F14)/F14)*100</f>
        <v>8.1188033508981423</v>
      </c>
    </row>
    <row r="15" spans="1:16" ht="15" customHeight="1" x14ac:dyDescent="0.3">
      <c r="A15" s="6">
        <v>1</v>
      </c>
      <c r="B15" s="7">
        <v>14</v>
      </c>
      <c r="C15" s="7" t="s">
        <v>16</v>
      </c>
      <c r="D15" s="7" t="s">
        <v>17</v>
      </c>
      <c r="E15" s="8">
        <v>3.3083309999999999</v>
      </c>
      <c r="F15" s="15">
        <v>3.8043140000000002</v>
      </c>
      <c r="G15" s="13">
        <v>4.0426909999999996</v>
      </c>
      <c r="K15" s="14">
        <v>4.0426909999999996</v>
      </c>
      <c r="L15" s="9">
        <f t="shared" si="1"/>
        <v>14.991940044693239</v>
      </c>
      <c r="M15" s="9">
        <f>((G15-F15)/F15)*100</f>
        <v>6.2659654276697303</v>
      </c>
    </row>
    <row r="16" spans="1:16" ht="15" customHeight="1" x14ac:dyDescent="0.3">
      <c r="A16" s="6">
        <v>1</v>
      </c>
      <c r="B16" s="7">
        <v>15</v>
      </c>
      <c r="C16" s="7" t="s">
        <v>16</v>
      </c>
      <c r="D16" s="7" t="s">
        <v>17</v>
      </c>
      <c r="E16" s="22">
        <v>2.5125959999999998</v>
      </c>
      <c r="F16" s="13">
        <v>3.0165160000000002</v>
      </c>
      <c r="K16" s="14">
        <v>3.0165160000000002</v>
      </c>
      <c r="L16" s="9">
        <f t="shared" si="1"/>
        <v>20.055751103639437</v>
      </c>
    </row>
    <row r="17" spans="1:16" ht="15" customHeight="1" x14ac:dyDescent="0.3">
      <c r="A17" s="6">
        <v>1</v>
      </c>
      <c r="B17" s="7">
        <v>16</v>
      </c>
      <c r="C17" s="7" t="s">
        <v>16</v>
      </c>
      <c r="D17" s="7" t="s">
        <v>17</v>
      </c>
      <c r="E17" s="8">
        <v>2.9834139999999998</v>
      </c>
      <c r="F17" s="23">
        <v>3.711055</v>
      </c>
      <c r="L17" s="9">
        <f t="shared" si="1"/>
        <v>24.389541645913045</v>
      </c>
    </row>
    <row r="18" spans="1:16" ht="15" customHeight="1" x14ac:dyDescent="0.3">
      <c r="A18" s="6">
        <v>1</v>
      </c>
      <c r="B18" s="7">
        <v>17</v>
      </c>
      <c r="C18" s="7" t="s">
        <v>16</v>
      </c>
      <c r="D18" s="7" t="s">
        <v>17</v>
      </c>
      <c r="E18" s="24">
        <v>3.4532750000000001</v>
      </c>
    </row>
    <row r="19" spans="1:16" ht="15" customHeight="1" x14ac:dyDescent="0.3">
      <c r="A19" s="6">
        <v>1</v>
      </c>
      <c r="B19" s="7">
        <v>18</v>
      </c>
      <c r="C19" s="7" t="s">
        <v>16</v>
      </c>
      <c r="D19" s="7" t="s">
        <v>17</v>
      </c>
      <c r="E19" s="17">
        <v>3.1319710000000001</v>
      </c>
      <c r="F19" s="15">
        <v>3.638525</v>
      </c>
      <c r="G19" s="12">
        <v>3.959892</v>
      </c>
      <c r="H19" s="13">
        <v>4.2690239999999999</v>
      </c>
      <c r="K19" s="14">
        <v>4.2690239999999999</v>
      </c>
      <c r="L19" s="9">
        <f>((F19-E19)/E19)*100</f>
        <v>16.173649117440743</v>
      </c>
      <c r="M19" s="9">
        <f>((G19-F19)/F19)*100</f>
        <v>8.8323427762623581</v>
      </c>
      <c r="N19" s="9">
        <f>((H19-G19)/G19)*100</f>
        <v>7.806576542996627</v>
      </c>
    </row>
    <row r="20" spans="1:16" ht="15" customHeight="1" x14ac:dyDescent="0.3">
      <c r="A20" s="6">
        <v>1</v>
      </c>
      <c r="B20" s="7">
        <v>19</v>
      </c>
      <c r="C20" s="7" t="s">
        <v>16</v>
      </c>
      <c r="D20" s="7" t="s">
        <v>17</v>
      </c>
      <c r="E20" s="8">
        <v>3.1947269999999999</v>
      </c>
      <c r="F20" s="16">
        <v>3.8598110000000001</v>
      </c>
      <c r="G20" s="13">
        <v>4.1810609999999997</v>
      </c>
      <c r="K20" s="14">
        <v>4.1810609999999997</v>
      </c>
      <c r="L20" s="9">
        <f>((F20-E20)/E20)*100</f>
        <v>20.8181794563354</v>
      </c>
      <c r="M20" s="9">
        <f>((G20-F20)/F20)*100</f>
        <v>8.3229463826078423</v>
      </c>
    </row>
    <row r="21" spans="1:16" ht="15" customHeight="1" x14ac:dyDescent="0.3">
      <c r="A21" s="6">
        <v>1</v>
      </c>
      <c r="B21" s="7">
        <v>20</v>
      </c>
      <c r="C21" s="7" t="s">
        <v>16</v>
      </c>
      <c r="D21" s="7" t="s">
        <v>17</v>
      </c>
      <c r="E21" s="10">
        <v>3.1367560000000001</v>
      </c>
      <c r="F21" s="23">
        <v>3.482561</v>
      </c>
      <c r="G21" s="13">
        <v>3.5145170000000001</v>
      </c>
      <c r="K21" s="14">
        <v>3.5145170000000001</v>
      </c>
      <c r="L21" s="9">
        <f>((F21-E21)/E21)*100</f>
        <v>11.024287512321644</v>
      </c>
      <c r="M21" s="9">
        <f>((G21-F21)/F21)*100</f>
        <v>0.91760058187064331</v>
      </c>
    </row>
    <row r="22" spans="1:16" ht="15" customHeight="1" x14ac:dyDescent="0.3">
      <c r="A22" s="6">
        <v>1</v>
      </c>
      <c r="B22" s="7">
        <v>21</v>
      </c>
      <c r="C22" s="7" t="s">
        <v>16</v>
      </c>
      <c r="D22" s="7" t="s">
        <v>17</v>
      </c>
      <c r="E22" s="8">
        <v>3.1457850000000001</v>
      </c>
    </row>
    <row r="23" spans="1:16" ht="15" customHeight="1" x14ac:dyDescent="0.3">
      <c r="A23" s="6">
        <v>1</v>
      </c>
      <c r="B23" s="7">
        <v>22</v>
      </c>
      <c r="C23" s="7" t="s">
        <v>16</v>
      </c>
      <c r="D23" s="7" t="s">
        <v>17</v>
      </c>
      <c r="E23" s="8">
        <v>3.0296880000000002</v>
      </c>
      <c r="F23" s="11">
        <v>3.6534049999999998</v>
      </c>
      <c r="G23" s="19">
        <v>3.7311809999999999</v>
      </c>
      <c r="L23" s="9">
        <f>((F23-E23)/E23)*100</f>
        <v>20.586839304905311</v>
      </c>
      <c r="M23" s="9">
        <f>((G23-F23)/F23)*100</f>
        <v>2.12886334802739</v>
      </c>
    </row>
    <row r="24" spans="1:16" ht="15" customHeight="1" x14ac:dyDescent="0.3">
      <c r="A24" s="6">
        <v>1</v>
      </c>
      <c r="B24" s="7">
        <v>23</v>
      </c>
      <c r="C24" s="7" t="s">
        <v>16</v>
      </c>
      <c r="D24" s="7" t="s">
        <v>17</v>
      </c>
      <c r="E24" s="22">
        <v>3.4010750000000001</v>
      </c>
      <c r="F24" s="15">
        <v>4.29542</v>
      </c>
      <c r="G24" s="19">
        <v>4.6738629999999999</v>
      </c>
      <c r="L24" s="9">
        <f>((F24-E24)/E24)*100</f>
        <v>26.295950545048253</v>
      </c>
      <c r="M24" s="9">
        <f>((G24-F24)/F24)*100</f>
        <v>8.8103840835122025</v>
      </c>
    </row>
    <row r="25" spans="1:16" ht="15" customHeight="1" x14ac:dyDescent="0.3">
      <c r="A25" s="6">
        <v>1</v>
      </c>
      <c r="B25" s="7">
        <v>24</v>
      </c>
      <c r="C25" s="7" t="s">
        <v>16</v>
      </c>
      <c r="D25" s="7" t="s">
        <v>17</v>
      </c>
      <c r="E25" s="22">
        <v>3.0091709999999998</v>
      </c>
      <c r="F25" s="25">
        <v>3.6539619999999999</v>
      </c>
      <c r="L25" s="9">
        <f t="shared" ref="L25:M39" si="2">((F25-E25)/E25)*100</f>
        <v>21.427529376030812</v>
      </c>
    </row>
    <row r="26" spans="1:16" ht="15" customHeight="1" x14ac:dyDescent="0.3">
      <c r="A26" s="6">
        <v>1</v>
      </c>
      <c r="B26" s="7">
        <v>25</v>
      </c>
      <c r="C26" s="7" t="s">
        <v>16</v>
      </c>
      <c r="D26" s="7" t="s">
        <v>17</v>
      </c>
      <c r="E26" s="17">
        <v>3.0260419999999999</v>
      </c>
      <c r="F26" s="15">
        <v>3.368544</v>
      </c>
      <c r="L26" s="9">
        <f t="shared" si="2"/>
        <v>11.31848136939276</v>
      </c>
    </row>
    <row r="27" spans="1:16" ht="15" customHeight="1" x14ac:dyDescent="0.3">
      <c r="A27" s="6">
        <v>1</v>
      </c>
      <c r="B27" s="7">
        <v>26</v>
      </c>
      <c r="C27" s="7" t="s">
        <v>16</v>
      </c>
      <c r="D27" s="7" t="s">
        <v>17</v>
      </c>
      <c r="E27" s="10">
        <v>3.0657610000000002</v>
      </c>
      <c r="F27" s="11">
        <v>3.6414740000000001</v>
      </c>
      <c r="G27" s="13">
        <v>3.745835</v>
      </c>
      <c r="K27" s="14">
        <v>3.745835</v>
      </c>
      <c r="L27" s="9">
        <f t="shared" si="2"/>
        <v>18.778795868301536</v>
      </c>
      <c r="M27" s="9">
        <f t="shared" si="2"/>
        <v>2.8658999075649016</v>
      </c>
    </row>
    <row r="28" spans="1:16" ht="15" customHeight="1" x14ac:dyDescent="0.3">
      <c r="A28" s="6">
        <v>1</v>
      </c>
      <c r="B28" s="7">
        <v>27</v>
      </c>
      <c r="C28" s="7" t="s">
        <v>16</v>
      </c>
      <c r="D28" s="7" t="s">
        <v>17</v>
      </c>
      <c r="E28" s="22">
        <v>3.413789</v>
      </c>
      <c r="F28" s="15">
        <v>4.2421930000000003</v>
      </c>
      <c r="G28" s="16">
        <v>4.477074</v>
      </c>
      <c r="H28" s="13">
        <v>4.3854649999999999</v>
      </c>
      <c r="K28" s="14">
        <v>4.3854649999999999</v>
      </c>
      <c r="L28" s="9">
        <f t="shared" si="2"/>
        <v>24.266408966693618</v>
      </c>
      <c r="M28" s="9">
        <f t="shared" si="2"/>
        <v>5.5367825084808651</v>
      </c>
      <c r="N28" s="20">
        <f>((H28-G28)/G28)*100</f>
        <v>-2.0461801614179271</v>
      </c>
    </row>
    <row r="29" spans="1:16" ht="15" customHeight="1" x14ac:dyDescent="0.3">
      <c r="A29" s="6">
        <v>1</v>
      </c>
      <c r="B29" s="7">
        <v>28</v>
      </c>
      <c r="C29" s="7" t="s">
        <v>16</v>
      </c>
      <c r="D29" s="7" t="s">
        <v>17</v>
      </c>
      <c r="E29" s="17">
        <v>3.0129540000000001</v>
      </c>
      <c r="F29" s="15">
        <v>3.73394</v>
      </c>
      <c r="G29" s="19">
        <v>4.0930790000000004</v>
      </c>
      <c r="H29" s="13">
        <v>4.028009</v>
      </c>
      <c r="K29" s="14">
        <v>4.028009</v>
      </c>
      <c r="L29" s="9">
        <f t="shared" si="2"/>
        <v>23.929538917620377</v>
      </c>
      <c r="M29" s="9">
        <f t="shared" si="2"/>
        <v>9.6182316802091172</v>
      </c>
      <c r="N29" s="20">
        <f>((H29-G29)/G29)*100</f>
        <v>-1.5897567576878042</v>
      </c>
    </row>
    <row r="30" spans="1:16" ht="15" customHeight="1" x14ac:dyDescent="0.3">
      <c r="A30" s="6">
        <v>1</v>
      </c>
      <c r="B30" s="7">
        <v>29</v>
      </c>
      <c r="C30" s="7" t="s">
        <v>16</v>
      </c>
      <c r="D30" s="7" t="s">
        <v>17</v>
      </c>
      <c r="E30" s="17">
        <v>3.5148299999999999</v>
      </c>
      <c r="F30" s="15">
        <v>4.5134400000000001</v>
      </c>
      <c r="G30" s="19">
        <v>4.9730559999999997</v>
      </c>
      <c r="H30" s="19">
        <v>5.427162</v>
      </c>
      <c r="L30" s="9">
        <f t="shared" si="2"/>
        <v>28.411331415744158</v>
      </c>
      <c r="M30" s="9">
        <f t="shared" si="2"/>
        <v>10.183274841362676</v>
      </c>
      <c r="N30" s="9">
        <f>((H30-G30)/G30)*100</f>
        <v>9.1313268943683799</v>
      </c>
    </row>
    <row r="31" spans="1:16" ht="15" customHeight="1" x14ac:dyDescent="0.3">
      <c r="A31" s="6">
        <v>1</v>
      </c>
      <c r="B31" s="7">
        <v>30</v>
      </c>
      <c r="C31" s="7" t="s">
        <v>16</v>
      </c>
      <c r="D31" s="7" t="s">
        <v>17</v>
      </c>
      <c r="E31" s="8">
        <v>3.290006</v>
      </c>
      <c r="F31" s="15">
        <v>3.8678659999999998</v>
      </c>
      <c r="G31" s="13">
        <v>4.4311530000000001</v>
      </c>
      <c r="K31" s="14">
        <v>4.4311530000000001</v>
      </c>
      <c r="L31" s="9">
        <f t="shared" si="2"/>
        <v>17.564101706805392</v>
      </c>
      <c r="M31" s="9">
        <f t="shared" si="2"/>
        <v>14.563250122936017</v>
      </c>
    </row>
    <row r="32" spans="1:16" s="27" customFormat="1" ht="15" customHeight="1" x14ac:dyDescent="0.3">
      <c r="A32" s="26">
        <v>2</v>
      </c>
      <c r="B32" s="27">
        <v>1</v>
      </c>
      <c r="C32" s="27" t="s">
        <v>16</v>
      </c>
      <c r="D32" s="27" t="s">
        <v>18</v>
      </c>
      <c r="E32" s="28">
        <v>3.1666639999999999</v>
      </c>
      <c r="F32" s="29">
        <v>3.7784360000000001</v>
      </c>
      <c r="G32" s="30">
        <v>4.1666189999999999</v>
      </c>
      <c r="H32" s="31">
        <v>4.3077050000000003</v>
      </c>
      <c r="I32" s="32">
        <v>4.4166829999999999</v>
      </c>
      <c r="J32" s="20"/>
      <c r="K32" s="14">
        <v>4.4166829999999999</v>
      </c>
      <c r="L32" s="20">
        <f>((F32-E32)/E32)*100</f>
        <v>19.319132058216475</v>
      </c>
      <c r="M32" s="20">
        <f t="shared" si="2"/>
        <v>10.273642321849561</v>
      </c>
      <c r="N32" s="20">
        <f>((H32-G32)/G32)*100</f>
        <v>3.3861027370153236</v>
      </c>
      <c r="O32" s="20">
        <f>((I32-H32)/H32)*100</f>
        <v>2.5298389745815828</v>
      </c>
      <c r="P32" s="20"/>
    </row>
    <row r="33" spans="1:16" s="27" customFormat="1" ht="15" customHeight="1" x14ac:dyDescent="0.3">
      <c r="A33" s="26">
        <v>2</v>
      </c>
      <c r="B33" s="27">
        <v>2</v>
      </c>
      <c r="C33" s="27" t="s">
        <v>16</v>
      </c>
      <c r="D33" s="27" t="s">
        <v>18</v>
      </c>
      <c r="E33" s="33">
        <v>3.0546669999999998</v>
      </c>
      <c r="F33" s="34">
        <v>3.545004</v>
      </c>
      <c r="G33" s="35">
        <v>3.7125530000000002</v>
      </c>
      <c r="H33" s="36">
        <v>3.7809680000000001</v>
      </c>
      <c r="I33" s="36">
        <v>3.7831359999999998</v>
      </c>
      <c r="J33" s="20"/>
      <c r="L33" s="20">
        <f t="shared" si="2"/>
        <v>16.05206066651456</v>
      </c>
      <c r="M33" s="20">
        <f t="shared" si="2"/>
        <v>4.7263416345933642</v>
      </c>
      <c r="N33" s="20">
        <f>((H33-G33)/G33)*100</f>
        <v>1.8428019748135553</v>
      </c>
      <c r="O33" s="20">
        <f>((I33-H33)/H33)*100</f>
        <v>5.7339813508067917E-2</v>
      </c>
      <c r="P33" s="20"/>
    </row>
    <row r="34" spans="1:16" s="27" customFormat="1" ht="15" customHeight="1" x14ac:dyDescent="0.3">
      <c r="A34" s="26">
        <v>2</v>
      </c>
      <c r="B34" s="27">
        <v>3</v>
      </c>
      <c r="C34" s="27" t="s">
        <v>16</v>
      </c>
      <c r="D34" s="27" t="s">
        <v>18</v>
      </c>
      <c r="E34" s="37">
        <v>3.0809880000000001</v>
      </c>
      <c r="F34" s="29">
        <v>3.7986300000000002</v>
      </c>
      <c r="G34" s="30">
        <v>4.3871130000000003</v>
      </c>
      <c r="H34" s="20"/>
      <c r="I34" s="20"/>
      <c r="J34" s="20"/>
      <c r="K34" s="14"/>
      <c r="L34" s="20">
        <f t="shared" si="2"/>
        <v>23.292593155182693</v>
      </c>
      <c r="M34" s="20">
        <f t="shared" si="2"/>
        <v>15.491980003316987</v>
      </c>
      <c r="N34" s="20"/>
      <c r="O34" s="20"/>
      <c r="P34" s="20"/>
    </row>
    <row r="35" spans="1:16" s="27" customFormat="1" ht="15" customHeight="1" x14ac:dyDescent="0.3">
      <c r="A35" s="26">
        <v>2</v>
      </c>
      <c r="B35" s="27">
        <v>4</v>
      </c>
      <c r="C35" s="27" t="s">
        <v>16</v>
      </c>
      <c r="D35" s="27" t="s">
        <v>18</v>
      </c>
      <c r="E35" s="38">
        <v>3.3067139999999999</v>
      </c>
      <c r="F35" s="34">
        <v>3.4740549999999999</v>
      </c>
      <c r="G35" s="20"/>
      <c r="H35" s="20"/>
      <c r="I35" s="20"/>
      <c r="J35" s="20"/>
      <c r="L35" s="20">
        <f t="shared" si="2"/>
        <v>5.0606432851465222</v>
      </c>
      <c r="M35" s="20"/>
      <c r="N35" s="20"/>
      <c r="O35" s="20"/>
      <c r="P35" s="20"/>
    </row>
    <row r="36" spans="1:16" s="27" customFormat="1" ht="15" customHeight="1" x14ac:dyDescent="0.3">
      <c r="A36" s="26">
        <v>2</v>
      </c>
      <c r="B36" s="27">
        <v>5</v>
      </c>
      <c r="C36" s="27" t="s">
        <v>16</v>
      </c>
      <c r="D36" s="27" t="s">
        <v>18</v>
      </c>
      <c r="E36" s="33">
        <v>3.3857680000000001</v>
      </c>
      <c r="F36" s="34">
        <v>3.8941340000000002</v>
      </c>
      <c r="G36" s="35">
        <v>4.1854500000000003</v>
      </c>
      <c r="H36" s="20"/>
      <c r="I36" s="32">
        <v>3.5681790000000002</v>
      </c>
      <c r="J36" s="20"/>
      <c r="K36" s="14">
        <v>3.5681790000000002</v>
      </c>
      <c r="L36" s="20">
        <f t="shared" si="2"/>
        <v>15.014791326517354</v>
      </c>
      <c r="M36" s="20">
        <f>((G36-F36)/F36)*100</f>
        <v>7.4808930560684388</v>
      </c>
      <c r="N36" s="20"/>
      <c r="O36" s="20"/>
      <c r="P36" s="20"/>
    </row>
    <row r="37" spans="1:16" s="27" customFormat="1" ht="15" customHeight="1" x14ac:dyDescent="0.3">
      <c r="A37" s="26">
        <v>2</v>
      </c>
      <c r="B37" s="27">
        <v>6</v>
      </c>
      <c r="C37" s="27" t="s">
        <v>16</v>
      </c>
      <c r="D37" s="27" t="s">
        <v>18</v>
      </c>
      <c r="E37" s="38">
        <v>3.4470139999999998</v>
      </c>
      <c r="F37" s="34">
        <v>3.926491</v>
      </c>
      <c r="G37" s="39">
        <v>4.014437</v>
      </c>
      <c r="H37" s="32">
        <v>4.0799019999999997</v>
      </c>
      <c r="I37" s="20"/>
      <c r="J37" s="20"/>
      <c r="K37" s="14">
        <v>4.0799019999999997</v>
      </c>
      <c r="L37" s="20">
        <f t="shared" si="2"/>
        <v>13.909923197294823</v>
      </c>
      <c r="M37" s="20">
        <f>((G37-F37)/F37)*100</f>
        <v>2.2398115773091054</v>
      </c>
      <c r="N37" s="20">
        <f>((H37-G37)/G37)*100</f>
        <v>1.6307392543462425</v>
      </c>
      <c r="O37" s="20"/>
      <c r="P37" s="20"/>
    </row>
    <row r="38" spans="1:16" s="27" customFormat="1" ht="15" customHeight="1" x14ac:dyDescent="0.3">
      <c r="A38" s="26">
        <v>2</v>
      </c>
      <c r="B38" s="27">
        <v>7</v>
      </c>
      <c r="C38" s="27" t="s">
        <v>16</v>
      </c>
      <c r="D38" s="27" t="s">
        <v>18</v>
      </c>
      <c r="E38" s="33">
        <v>2.9419270000000002</v>
      </c>
      <c r="F38" s="34">
        <v>3.51301</v>
      </c>
      <c r="G38" s="30">
        <v>3.737743</v>
      </c>
      <c r="H38" s="20"/>
      <c r="I38" s="20"/>
      <c r="J38" s="20"/>
      <c r="K38" s="14">
        <v>3.965938</v>
      </c>
      <c r="L38" s="20">
        <f t="shared" si="2"/>
        <v>19.411868479401416</v>
      </c>
      <c r="M38" s="20">
        <f>((G38-F38)/F38)*100</f>
        <v>6.3971636858420586</v>
      </c>
      <c r="N38" s="20"/>
      <c r="O38" s="20"/>
      <c r="P38" s="20"/>
    </row>
    <row r="39" spans="1:16" s="27" customFormat="1" ht="15" customHeight="1" x14ac:dyDescent="0.3">
      <c r="A39" s="26">
        <v>2</v>
      </c>
      <c r="B39" s="27">
        <v>8</v>
      </c>
      <c r="C39" s="27" t="s">
        <v>16</v>
      </c>
      <c r="D39" s="27" t="s">
        <v>18</v>
      </c>
      <c r="E39" s="37">
        <v>3.299229</v>
      </c>
      <c r="F39" s="29">
        <v>3.7728799999999998</v>
      </c>
      <c r="G39" s="30">
        <v>4.397964</v>
      </c>
      <c r="H39" s="39">
        <v>4.554532</v>
      </c>
      <c r="I39" s="20"/>
      <c r="J39" s="20"/>
      <c r="L39" s="20">
        <f t="shared" si="2"/>
        <v>14.356414786606198</v>
      </c>
      <c r="M39" s="20">
        <f>((G39-F39)/F39)*100</f>
        <v>16.567820868938323</v>
      </c>
      <c r="N39" s="20">
        <f>((H39-G39)/G39)*100</f>
        <v>3.5600109505216513</v>
      </c>
      <c r="O39" s="20"/>
      <c r="P39" s="20"/>
    </row>
    <row r="40" spans="1:16" s="27" customFormat="1" ht="15" customHeight="1" x14ac:dyDescent="0.3">
      <c r="A40" s="26">
        <v>2</v>
      </c>
      <c r="B40" s="27">
        <v>9</v>
      </c>
      <c r="C40" s="27" t="s">
        <v>16</v>
      </c>
      <c r="D40" s="27" t="s">
        <v>18</v>
      </c>
      <c r="E40" s="33">
        <v>3.0419830000000001</v>
      </c>
      <c r="F40" s="20"/>
      <c r="G40" s="35">
        <v>3.8641559999999999</v>
      </c>
      <c r="H40" s="40">
        <v>3.9947509999999999</v>
      </c>
      <c r="I40" s="20"/>
      <c r="J40" s="20"/>
      <c r="L40" s="20"/>
      <c r="M40" s="20"/>
      <c r="N40" s="20">
        <f>((H40-G40)/G40)*100</f>
        <v>3.3796513391281304</v>
      </c>
      <c r="O40" s="20"/>
      <c r="P40" s="20"/>
    </row>
    <row r="41" spans="1:16" s="27" customFormat="1" ht="15" customHeight="1" x14ac:dyDescent="0.3">
      <c r="A41" s="26">
        <v>2</v>
      </c>
      <c r="B41" s="27">
        <v>10</v>
      </c>
      <c r="C41" s="27" t="s">
        <v>16</v>
      </c>
      <c r="D41" s="27" t="s">
        <v>18</v>
      </c>
      <c r="E41" s="33">
        <v>3.0478969999999999</v>
      </c>
      <c r="F41" s="34">
        <v>3.6271450000000001</v>
      </c>
      <c r="G41" s="35">
        <v>3.9382259999999998</v>
      </c>
      <c r="H41" s="31">
        <v>3.9453049999999998</v>
      </c>
      <c r="I41" s="36">
        <v>4.0445929999999999</v>
      </c>
      <c r="J41" s="32">
        <v>3.9304220000000001</v>
      </c>
      <c r="K41" s="14">
        <v>3.9304220000000001</v>
      </c>
      <c r="L41" s="20">
        <f>((F41-E41)/E41)*100</f>
        <v>19.004841699046924</v>
      </c>
      <c r="M41" s="20">
        <f>((G41-F41)/F41)*100</f>
        <v>8.5764699233143347</v>
      </c>
      <c r="N41" s="20">
        <f>((H41-G41)/G41)*100</f>
        <v>0.17975098432644693</v>
      </c>
      <c r="O41" s="20">
        <f>((I41-H41)/H41)*100</f>
        <v>2.516611516726845</v>
      </c>
      <c r="P41" s="20">
        <f>((J41-I41)/I41)*100</f>
        <v>-2.8228056568361715</v>
      </c>
    </row>
    <row r="42" spans="1:16" s="27" customFormat="1" ht="15" customHeight="1" x14ac:dyDescent="0.3">
      <c r="A42" s="26">
        <v>2</v>
      </c>
      <c r="B42" s="27">
        <v>11</v>
      </c>
      <c r="C42" s="27" t="s">
        <v>16</v>
      </c>
      <c r="D42" s="27" t="s">
        <v>18</v>
      </c>
      <c r="E42" s="38">
        <v>3.2235610000000001</v>
      </c>
      <c r="F42" s="41">
        <v>3.487158</v>
      </c>
      <c r="G42" s="20"/>
      <c r="H42" s="20"/>
      <c r="I42" s="20"/>
      <c r="J42" s="20"/>
      <c r="L42" s="20">
        <f t="shared" ref="L42:M52" si="3">((F42-E42)/E42)*100</f>
        <v>8.1771990664981953</v>
      </c>
      <c r="M42" s="20"/>
      <c r="N42" s="20"/>
      <c r="O42" s="20"/>
      <c r="P42" s="20"/>
    </row>
    <row r="43" spans="1:16" s="27" customFormat="1" ht="15" customHeight="1" x14ac:dyDescent="0.3">
      <c r="A43" s="26">
        <v>2</v>
      </c>
      <c r="B43" s="27">
        <v>12</v>
      </c>
      <c r="C43" s="27" t="s">
        <v>16</v>
      </c>
      <c r="D43" s="27" t="s">
        <v>18</v>
      </c>
      <c r="E43" s="33">
        <v>2.9599980000000001</v>
      </c>
      <c r="F43" s="34">
        <v>3.3474539999999999</v>
      </c>
      <c r="G43" s="20"/>
      <c r="H43" s="20"/>
      <c r="I43" s="20"/>
      <c r="J43" s="20"/>
      <c r="L43" s="20">
        <f t="shared" si="3"/>
        <v>13.089738574147677</v>
      </c>
      <c r="M43" s="20"/>
      <c r="N43" s="20"/>
      <c r="O43" s="20"/>
      <c r="P43" s="20"/>
    </row>
    <row r="44" spans="1:16" s="27" customFormat="1" ht="15" customHeight="1" x14ac:dyDescent="0.3">
      <c r="A44" s="26">
        <v>2</v>
      </c>
      <c r="B44" s="27">
        <v>13</v>
      </c>
      <c r="C44" s="27" t="s">
        <v>16</v>
      </c>
      <c r="D44" s="27" t="s">
        <v>18</v>
      </c>
      <c r="E44" s="33">
        <v>3.4802140000000001</v>
      </c>
      <c r="F44" s="34">
        <v>3.878171</v>
      </c>
      <c r="G44" s="35">
        <v>4.3558389999999996</v>
      </c>
      <c r="H44" s="20"/>
      <c r="I44" s="20"/>
      <c r="J44" s="20"/>
      <c r="L44" s="20">
        <f t="shared" si="3"/>
        <v>11.434842799896785</v>
      </c>
      <c r="M44" s="20">
        <f t="shared" si="3"/>
        <v>12.316836983206763</v>
      </c>
      <c r="N44" s="20"/>
      <c r="O44" s="20"/>
      <c r="P44" s="20"/>
    </row>
    <row r="45" spans="1:16" s="27" customFormat="1" ht="15" customHeight="1" x14ac:dyDescent="0.3">
      <c r="A45" s="26">
        <v>2</v>
      </c>
      <c r="B45" s="27">
        <v>14</v>
      </c>
      <c r="C45" s="27" t="s">
        <v>16</v>
      </c>
      <c r="D45" s="27" t="s">
        <v>18</v>
      </c>
      <c r="E45" s="28">
        <v>3.2004990000000002</v>
      </c>
      <c r="F45" s="34">
        <v>3.8140740000000002</v>
      </c>
      <c r="G45" s="35">
        <v>4.1646749999999999</v>
      </c>
      <c r="H45" s="32">
        <v>4.2976910000000004</v>
      </c>
      <c r="I45" s="20"/>
      <c r="J45" s="20"/>
      <c r="K45" s="14">
        <v>4.2976910000000004</v>
      </c>
      <c r="L45" s="20">
        <f t="shared" si="3"/>
        <v>19.17122923644094</v>
      </c>
      <c r="M45" s="20">
        <f t="shared" si="3"/>
        <v>9.1922967409651655</v>
      </c>
      <c r="N45" s="20">
        <f>((H45-G45)/G45)*100</f>
        <v>3.1939106893095008</v>
      </c>
      <c r="O45" s="20"/>
      <c r="P45" s="20"/>
    </row>
    <row r="46" spans="1:16" s="27" customFormat="1" ht="15" customHeight="1" x14ac:dyDescent="0.3">
      <c r="A46" s="26">
        <v>2</v>
      </c>
      <c r="B46" s="27">
        <v>15</v>
      </c>
      <c r="C46" s="27" t="s">
        <v>16</v>
      </c>
      <c r="D46" s="27" t="s">
        <v>18</v>
      </c>
      <c r="E46" s="33">
        <v>3.1065999999999998</v>
      </c>
      <c r="F46" s="34">
        <v>3.7514430000000001</v>
      </c>
      <c r="G46" s="35">
        <v>3.983044</v>
      </c>
      <c r="H46" s="20"/>
      <c r="I46" s="20"/>
      <c r="J46" s="20"/>
      <c r="L46" s="20">
        <f t="shared" si="3"/>
        <v>20.75719436039401</v>
      </c>
      <c r="M46" s="20">
        <f t="shared" si="3"/>
        <v>6.173651045744263</v>
      </c>
      <c r="N46" s="20"/>
      <c r="O46" s="20"/>
      <c r="P46" s="20"/>
    </row>
    <row r="47" spans="1:16" s="27" customFormat="1" ht="15" customHeight="1" x14ac:dyDescent="0.3">
      <c r="A47" s="26">
        <v>2</v>
      </c>
      <c r="B47" s="27">
        <v>16</v>
      </c>
      <c r="C47" s="27" t="s">
        <v>16</v>
      </c>
      <c r="D47" s="27" t="s">
        <v>18</v>
      </c>
      <c r="E47" s="37">
        <v>3.1473260000000001</v>
      </c>
      <c r="F47" s="29">
        <v>3.980912</v>
      </c>
      <c r="G47" s="30">
        <v>4.5295620000000003</v>
      </c>
      <c r="H47" s="20"/>
      <c r="I47" s="20"/>
      <c r="J47" s="20"/>
      <c r="L47" s="20">
        <f t="shared" si="3"/>
        <v>26.485530891938108</v>
      </c>
      <c r="M47" s="20">
        <f t="shared" si="3"/>
        <v>13.782017788888584</v>
      </c>
      <c r="N47" s="20"/>
      <c r="O47" s="20"/>
      <c r="P47" s="20"/>
    </row>
    <row r="48" spans="1:16" s="27" customFormat="1" ht="15" customHeight="1" x14ac:dyDescent="0.3">
      <c r="A48" s="26">
        <v>2</v>
      </c>
      <c r="B48" s="27">
        <v>17</v>
      </c>
      <c r="C48" s="27" t="s">
        <v>16</v>
      </c>
      <c r="D48" s="27" t="s">
        <v>18</v>
      </c>
      <c r="E48" s="33">
        <v>3.1224400000000001</v>
      </c>
      <c r="F48" s="34">
        <v>3.436712</v>
      </c>
      <c r="G48" s="40">
        <v>3.5938829999999999</v>
      </c>
      <c r="H48" s="20"/>
      <c r="I48" s="20"/>
      <c r="J48" s="20"/>
      <c r="K48" s="20"/>
      <c r="L48" s="20">
        <f t="shared" si="3"/>
        <v>10.064949206389869</v>
      </c>
      <c r="M48" s="20">
        <f t="shared" si="3"/>
        <v>4.5732956383892498</v>
      </c>
      <c r="N48" s="20"/>
      <c r="O48" s="20"/>
      <c r="P48" s="20"/>
    </row>
    <row r="49" spans="1:16" s="27" customFormat="1" ht="15" customHeight="1" x14ac:dyDescent="0.3">
      <c r="A49" s="26">
        <v>2</v>
      </c>
      <c r="B49" s="27">
        <v>18</v>
      </c>
      <c r="C49" s="27" t="s">
        <v>16</v>
      </c>
      <c r="D49" s="27" t="s">
        <v>18</v>
      </c>
      <c r="E49" s="33">
        <v>3.0927120000000001</v>
      </c>
      <c r="F49" s="34">
        <v>3.771598</v>
      </c>
      <c r="G49" s="36">
        <v>4.0282539999999996</v>
      </c>
      <c r="H49" s="20"/>
      <c r="I49" s="20"/>
      <c r="J49" s="20"/>
      <c r="K49" s="20"/>
      <c r="L49" s="20">
        <f t="shared" si="3"/>
        <v>21.951154844033322</v>
      </c>
      <c r="M49" s="20">
        <f t="shared" si="3"/>
        <v>6.8049670192846525</v>
      </c>
      <c r="N49" s="20"/>
      <c r="O49" s="20"/>
      <c r="P49" s="20"/>
    </row>
    <row r="50" spans="1:16" s="27" customFormat="1" ht="15" customHeight="1" x14ac:dyDescent="0.3">
      <c r="A50" s="26">
        <v>2</v>
      </c>
      <c r="B50" s="27">
        <v>19</v>
      </c>
      <c r="C50" s="27" t="s">
        <v>16</v>
      </c>
      <c r="D50" s="27" t="s">
        <v>18</v>
      </c>
      <c r="E50" s="33">
        <v>2.8869820000000002</v>
      </c>
      <c r="F50" s="34">
        <v>3.2221660000000001</v>
      </c>
      <c r="G50" s="40">
        <v>3.463069</v>
      </c>
      <c r="H50" s="20"/>
      <c r="I50" s="20"/>
      <c r="J50" s="20"/>
      <c r="K50" s="20"/>
      <c r="L50" s="20">
        <f t="shared" si="3"/>
        <v>11.610186693231892</v>
      </c>
      <c r="M50" s="20">
        <f t="shared" si="3"/>
        <v>7.476430450820966</v>
      </c>
      <c r="N50" s="20"/>
      <c r="O50" s="20"/>
      <c r="P50" s="20"/>
    </row>
    <row r="51" spans="1:16" s="27" customFormat="1" ht="15" customHeight="1" x14ac:dyDescent="0.3">
      <c r="A51" s="26">
        <v>2</v>
      </c>
      <c r="B51" s="27">
        <v>20</v>
      </c>
      <c r="C51" s="27" t="s">
        <v>16</v>
      </c>
      <c r="D51" s="27" t="s">
        <v>18</v>
      </c>
      <c r="E51" s="33">
        <v>2.9977170000000002</v>
      </c>
      <c r="F51" s="34">
        <v>3.5319940000000001</v>
      </c>
      <c r="G51" s="20"/>
      <c r="H51" s="20"/>
      <c r="I51" s="20"/>
      <c r="J51" s="20"/>
      <c r="K51" s="20"/>
      <c r="L51" s="20">
        <f t="shared" si="3"/>
        <v>17.822796481455715</v>
      </c>
      <c r="M51" s="20"/>
      <c r="N51" s="20"/>
      <c r="O51" s="20"/>
      <c r="P51" s="20"/>
    </row>
    <row r="52" spans="1:16" s="27" customFormat="1" ht="15" customHeight="1" x14ac:dyDescent="0.3">
      <c r="A52" s="26">
        <v>2</v>
      </c>
      <c r="B52" s="27">
        <v>21</v>
      </c>
      <c r="C52" s="27" t="s">
        <v>16</v>
      </c>
      <c r="D52" s="27" t="s">
        <v>18</v>
      </c>
      <c r="E52" s="38">
        <v>3.108171</v>
      </c>
      <c r="F52" s="34">
        <v>3.4199440000000001</v>
      </c>
      <c r="G52" s="40">
        <v>3.563428</v>
      </c>
      <c r="H52" s="20"/>
      <c r="I52" s="20"/>
      <c r="J52" s="20"/>
      <c r="K52" s="20"/>
      <c r="L52" s="20">
        <f t="shared" si="3"/>
        <v>10.030754421169236</v>
      </c>
      <c r="M52" s="20">
        <f>((G52-F52)/F52)*100</f>
        <v>4.1955072948562888</v>
      </c>
      <c r="N52" s="20"/>
      <c r="O52" s="20"/>
      <c r="P52" s="20"/>
    </row>
    <row r="53" spans="1:16" s="27" customFormat="1" ht="15" customHeight="1" x14ac:dyDescent="0.3">
      <c r="A53" s="26">
        <v>2</v>
      </c>
      <c r="B53" s="27">
        <v>22</v>
      </c>
      <c r="C53" s="27" t="s">
        <v>16</v>
      </c>
      <c r="D53" s="27" t="s">
        <v>18</v>
      </c>
      <c r="E53" s="38">
        <v>3.2833130000000001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 s="27" customFormat="1" ht="15" customHeight="1" x14ac:dyDescent="0.3">
      <c r="A54" s="26">
        <v>2</v>
      </c>
      <c r="B54" s="27">
        <v>23</v>
      </c>
      <c r="C54" s="27" t="s">
        <v>16</v>
      </c>
      <c r="D54" s="27" t="s">
        <v>18</v>
      </c>
      <c r="E54" s="33">
        <v>3.2408990000000002</v>
      </c>
      <c r="F54" s="34">
        <v>3.7744439999999999</v>
      </c>
      <c r="G54" s="35">
        <v>3.815944</v>
      </c>
      <c r="H54" s="36">
        <v>3.7336179999999999</v>
      </c>
      <c r="I54" s="36">
        <v>4.1166400000000003</v>
      </c>
      <c r="J54" s="20"/>
      <c r="K54" s="20"/>
      <c r="L54" s="20">
        <f>((F54-E54)/E54)*100</f>
        <v>16.462870333200748</v>
      </c>
      <c r="M54" s="20">
        <f>((G54-F54)/F54)*100</f>
        <v>1.099499687901055</v>
      </c>
      <c r="N54" s="20">
        <f>((H54-G54)/G54)*100</f>
        <v>-2.1574215973819357</v>
      </c>
      <c r="O54" s="20">
        <f>((I54-H54)/H54)*100</f>
        <v>10.258735628551191</v>
      </c>
      <c r="P54" s="20"/>
    </row>
    <row r="55" spans="1:16" s="27" customFormat="1" ht="15" customHeight="1" x14ac:dyDescent="0.3">
      <c r="A55" s="26">
        <v>2</v>
      </c>
      <c r="B55" s="27">
        <v>24</v>
      </c>
      <c r="C55" s="27" t="s">
        <v>16</v>
      </c>
      <c r="D55" s="27" t="s">
        <v>18</v>
      </c>
      <c r="E55" s="33">
        <v>3.059415</v>
      </c>
      <c r="F55" s="34">
        <v>3.7330999999999999</v>
      </c>
      <c r="G55" s="35">
        <v>3.9396930000000001</v>
      </c>
      <c r="H55" s="36">
        <v>4.0092499999999998</v>
      </c>
      <c r="I55" s="20"/>
      <c r="J55" s="20"/>
      <c r="K55" s="20"/>
      <c r="L55" s="20">
        <f t="shared" ref="L55:N56" si="4">((F55-E55)/E55)*100</f>
        <v>22.020059390439016</v>
      </c>
      <c r="M55" s="20">
        <f t="shared" si="4"/>
        <v>5.5340869518630695</v>
      </c>
      <c r="N55" s="20">
        <f t="shared" si="4"/>
        <v>1.7655436603816501</v>
      </c>
      <c r="O55" s="20"/>
      <c r="P55" s="20"/>
    </row>
    <row r="56" spans="1:16" s="27" customFormat="1" ht="15" customHeight="1" x14ac:dyDescent="0.3">
      <c r="A56" s="26">
        <v>2</v>
      </c>
      <c r="B56" s="27">
        <v>25</v>
      </c>
      <c r="C56" s="27" t="s">
        <v>16</v>
      </c>
      <c r="D56" s="27" t="s">
        <v>18</v>
      </c>
      <c r="E56" s="28">
        <v>3.4034230000000001</v>
      </c>
      <c r="F56" s="29">
        <v>4.1156470000000001</v>
      </c>
      <c r="G56" s="30">
        <v>4.7034570000000002</v>
      </c>
      <c r="H56" s="39">
        <v>4.7658839999999998</v>
      </c>
      <c r="I56" s="36">
        <v>5.0575999999999999</v>
      </c>
      <c r="J56" s="32">
        <v>5.1922879999999996</v>
      </c>
      <c r="K56" s="14">
        <v>5.1922879999999996</v>
      </c>
      <c r="L56" s="20">
        <f t="shared" si="4"/>
        <v>20.926696446489313</v>
      </c>
      <c r="M56" s="20">
        <f t="shared" si="4"/>
        <v>14.282323046655851</v>
      </c>
      <c r="N56" s="20">
        <f t="shared" si="4"/>
        <v>1.3272578020804604</v>
      </c>
      <c r="O56" s="20">
        <f>((I56-H56)/H56)*100</f>
        <v>6.1209211134807333</v>
      </c>
      <c r="P56" s="20">
        <f>((J56-I56)/I56)*100</f>
        <v>2.6630813033849989</v>
      </c>
    </row>
    <row r="57" spans="1:16" s="27" customFormat="1" ht="15" customHeight="1" x14ac:dyDescent="0.3">
      <c r="A57" s="26">
        <v>2</v>
      </c>
      <c r="B57" s="27">
        <v>26</v>
      </c>
      <c r="C57" s="27" t="s">
        <v>16</v>
      </c>
      <c r="D57" s="27" t="s">
        <v>18</v>
      </c>
      <c r="E57" s="38">
        <v>3.231716</v>
      </c>
      <c r="F57" s="20"/>
      <c r="G57" s="39">
        <v>3.722226</v>
      </c>
      <c r="H57" s="20"/>
      <c r="I57" s="20"/>
      <c r="J57" s="20"/>
      <c r="L57" s="20"/>
      <c r="M57" s="20"/>
      <c r="N57" s="20"/>
      <c r="O57" s="20"/>
      <c r="P57" s="20"/>
    </row>
    <row r="58" spans="1:16" s="27" customFormat="1" ht="15" customHeight="1" x14ac:dyDescent="0.3">
      <c r="A58" s="26">
        <v>2</v>
      </c>
      <c r="B58" s="27">
        <v>27</v>
      </c>
      <c r="C58" s="27" t="s">
        <v>16</v>
      </c>
      <c r="D58" s="27" t="s">
        <v>18</v>
      </c>
      <c r="E58" s="38">
        <v>3.0650559999999998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s="27" customFormat="1" ht="15" customHeight="1" x14ac:dyDescent="0.3">
      <c r="A59" s="26">
        <v>2</v>
      </c>
      <c r="B59" s="27">
        <v>28</v>
      </c>
      <c r="C59" s="27" t="s">
        <v>16</v>
      </c>
      <c r="D59" s="27" t="s">
        <v>18</v>
      </c>
      <c r="E59" s="38">
        <v>3.0331769999999998</v>
      </c>
      <c r="F59" s="34">
        <v>3.3811070000000001</v>
      </c>
      <c r="G59" s="31">
        <v>3.4772379999999998</v>
      </c>
      <c r="H59" s="32">
        <v>3.4135879999999998</v>
      </c>
      <c r="I59" s="20"/>
      <c r="J59" s="20"/>
      <c r="K59" s="14">
        <v>3.4135879999999998</v>
      </c>
      <c r="L59" s="20">
        <f>((F59-E59)/E59)*100</f>
        <v>11.470810968169689</v>
      </c>
      <c r="M59" s="20">
        <f>((G59-F59)/F59)*100</f>
        <v>2.8431812421198068</v>
      </c>
      <c r="N59" s="20">
        <f>((H59-G59)/G59)*100</f>
        <v>-1.8304757971700523</v>
      </c>
      <c r="O59" s="20"/>
      <c r="P59" s="20"/>
    </row>
    <row r="60" spans="1:16" s="27" customFormat="1" ht="15" customHeight="1" x14ac:dyDescent="0.3">
      <c r="A60" s="26">
        <v>2</v>
      </c>
      <c r="B60" s="27">
        <v>29</v>
      </c>
      <c r="C60" s="27" t="s">
        <v>16</v>
      </c>
      <c r="D60" s="27" t="s">
        <v>18</v>
      </c>
      <c r="E60" s="42">
        <v>2.678582</v>
      </c>
      <c r="F60" s="34">
        <v>2.956016</v>
      </c>
      <c r="G60" s="35">
        <v>3.1146159999999998</v>
      </c>
      <c r="H60" s="20"/>
      <c r="I60" s="20"/>
      <c r="J60" s="20"/>
      <c r="K60" s="20"/>
      <c r="L60" s="20">
        <f t="shared" ref="L60:M66" si="5">((F60-E60)/E60)*100</f>
        <v>10.357495122419248</v>
      </c>
      <c r="M60" s="20">
        <f t="shared" si="5"/>
        <v>5.3653295516668331</v>
      </c>
      <c r="N60" s="20"/>
      <c r="O60" s="20"/>
      <c r="P60" s="20"/>
    </row>
    <row r="61" spans="1:16" s="27" customFormat="1" ht="15" customHeight="1" x14ac:dyDescent="0.3">
      <c r="A61" s="26">
        <v>2</v>
      </c>
      <c r="B61" s="27">
        <v>30</v>
      </c>
      <c r="C61" s="27" t="s">
        <v>16</v>
      </c>
      <c r="D61" s="27" t="s">
        <v>18</v>
      </c>
      <c r="E61" s="33">
        <v>3.0701260000000001</v>
      </c>
      <c r="F61" s="34">
        <v>3.582109</v>
      </c>
      <c r="G61" s="35">
        <v>3.9451489999999998</v>
      </c>
      <c r="H61" s="20"/>
      <c r="I61" s="20"/>
      <c r="J61" s="20"/>
      <c r="K61" s="20"/>
      <c r="L61" s="20">
        <f t="shared" si="5"/>
        <v>16.676286250140869</v>
      </c>
      <c r="M61" s="20">
        <f t="shared" si="5"/>
        <v>10.134811643085117</v>
      </c>
      <c r="N61" s="20"/>
      <c r="O61" s="20"/>
      <c r="P61" s="20"/>
    </row>
    <row r="62" spans="1:16" ht="15" customHeight="1" x14ac:dyDescent="0.3">
      <c r="A62" s="6">
        <v>3</v>
      </c>
      <c r="B62" s="7">
        <v>1</v>
      </c>
      <c r="C62" s="7" t="s">
        <v>16</v>
      </c>
      <c r="D62" s="7" t="s">
        <v>19</v>
      </c>
      <c r="E62" s="8">
        <v>3.0236749999999999</v>
      </c>
      <c r="F62" s="15">
        <v>3.561769</v>
      </c>
      <c r="G62" s="23">
        <v>3.7817020000000001</v>
      </c>
      <c r="L62" s="9">
        <f t="shared" si="5"/>
        <v>17.796026358652966</v>
      </c>
      <c r="M62" s="9">
        <f t="shared" si="5"/>
        <v>6.1748249254794505</v>
      </c>
    </row>
    <row r="63" spans="1:16" ht="15" customHeight="1" x14ac:dyDescent="0.3">
      <c r="A63" s="6">
        <v>3</v>
      </c>
      <c r="B63" s="7">
        <v>2</v>
      </c>
      <c r="C63" s="7" t="s">
        <v>16</v>
      </c>
      <c r="D63" s="7" t="s">
        <v>19</v>
      </c>
      <c r="E63" s="17">
        <v>3.0833569999999999</v>
      </c>
      <c r="F63" s="15">
        <v>3.8978579999999998</v>
      </c>
      <c r="G63" s="13">
        <v>4.2356259999999999</v>
      </c>
      <c r="K63" s="14">
        <v>4.2356259999999999</v>
      </c>
      <c r="L63" s="9">
        <f t="shared" si="5"/>
        <v>26.416045887647783</v>
      </c>
      <c r="M63" s="9">
        <f t="shared" si="5"/>
        <v>8.6654772954786985</v>
      </c>
    </row>
    <row r="64" spans="1:16" ht="15" customHeight="1" x14ac:dyDescent="0.3">
      <c r="A64" s="6">
        <v>3</v>
      </c>
      <c r="B64" s="7">
        <v>3</v>
      </c>
      <c r="C64" s="7" t="s">
        <v>16</v>
      </c>
      <c r="D64" s="7" t="s">
        <v>19</v>
      </c>
      <c r="E64" s="17">
        <v>3.342638</v>
      </c>
      <c r="F64" s="15">
        <v>4.1101640000000002</v>
      </c>
      <c r="G64" s="16">
        <v>4.2543949999999997</v>
      </c>
      <c r="H64" s="13">
        <v>4.3497219999999999</v>
      </c>
      <c r="K64" s="14">
        <v>4.3497219999999999</v>
      </c>
      <c r="L64" s="9">
        <f t="shared" si="5"/>
        <v>22.961684753179977</v>
      </c>
      <c r="M64" s="9">
        <f t="shared" si="5"/>
        <v>3.50913004931189</v>
      </c>
      <c r="N64" s="9">
        <f>((H64-G64)/G64)*100</f>
        <v>2.2406711177500016</v>
      </c>
    </row>
    <row r="65" spans="1:14" ht="15" customHeight="1" x14ac:dyDescent="0.3">
      <c r="A65" s="6">
        <v>3</v>
      </c>
      <c r="B65" s="7">
        <v>4</v>
      </c>
      <c r="C65" s="7" t="s">
        <v>16</v>
      </c>
      <c r="D65" s="7" t="s">
        <v>19</v>
      </c>
      <c r="E65" s="17">
        <v>2.8979689999999998</v>
      </c>
      <c r="F65" s="25">
        <v>3.7202760000000001</v>
      </c>
      <c r="G65" s="23">
        <v>4.2305910000000004</v>
      </c>
      <c r="L65" s="9">
        <f t="shared" si="5"/>
        <v>28.375286278079592</v>
      </c>
      <c r="M65" s="9">
        <f t="shared" si="5"/>
        <v>13.717127438931959</v>
      </c>
    </row>
    <row r="66" spans="1:14" ht="15" customHeight="1" x14ac:dyDescent="0.3">
      <c r="A66" s="6">
        <v>3</v>
      </c>
      <c r="B66" s="7">
        <v>5</v>
      </c>
      <c r="C66" s="7" t="s">
        <v>16</v>
      </c>
      <c r="D66" s="7" t="s">
        <v>19</v>
      </c>
      <c r="E66" s="8">
        <v>2.9584030000000001</v>
      </c>
      <c r="F66" s="18">
        <v>3.380919</v>
      </c>
      <c r="G66" s="16">
        <v>3.3944939999999999</v>
      </c>
      <c r="H66" s="16">
        <v>3.393637</v>
      </c>
      <c r="L66" s="9">
        <f t="shared" si="5"/>
        <v>14.28189465735398</v>
      </c>
      <c r="M66" s="9">
        <f t="shared" si="5"/>
        <v>0.40151804879087294</v>
      </c>
      <c r="N66" s="20">
        <f>((H66-G66)/G66)*100</f>
        <v>-2.5246767264867329E-2</v>
      </c>
    </row>
    <row r="67" spans="1:14" ht="15" customHeight="1" x14ac:dyDescent="0.3">
      <c r="A67" s="6">
        <v>3</v>
      </c>
      <c r="B67" s="7">
        <v>6</v>
      </c>
      <c r="C67" s="7" t="s">
        <v>16</v>
      </c>
      <c r="D67" s="7" t="s">
        <v>19</v>
      </c>
      <c r="E67" s="17">
        <v>2.9875509999999998</v>
      </c>
      <c r="F67" s="15">
        <v>3.4943960000000001</v>
      </c>
      <c r="L67" s="9">
        <f>((F67-E67)/E67)*100</f>
        <v>16.965233396852479</v>
      </c>
    </row>
    <row r="68" spans="1:14" ht="15" customHeight="1" x14ac:dyDescent="0.3">
      <c r="A68" s="6">
        <v>3</v>
      </c>
      <c r="B68" s="7">
        <v>7</v>
      </c>
      <c r="C68" s="7" t="s">
        <v>16</v>
      </c>
      <c r="D68" s="7" t="s">
        <v>19</v>
      </c>
      <c r="E68" s="17">
        <v>3.133559</v>
      </c>
      <c r="F68" s="11">
        <v>3.7764259999999998</v>
      </c>
      <c r="L68" s="9">
        <f>((F68-E68)/E68)*100</f>
        <v>20.515554358478646</v>
      </c>
    </row>
    <row r="69" spans="1:14" ht="15" customHeight="1" x14ac:dyDescent="0.3">
      <c r="A69" s="6">
        <v>3</v>
      </c>
      <c r="B69" s="7">
        <v>8</v>
      </c>
      <c r="C69" s="7" t="s">
        <v>16</v>
      </c>
      <c r="D69" s="7" t="s">
        <v>19</v>
      </c>
      <c r="E69" s="10">
        <v>2.8949690000000001</v>
      </c>
    </row>
    <row r="70" spans="1:14" ht="15" customHeight="1" x14ac:dyDescent="0.3">
      <c r="A70" s="6">
        <v>3</v>
      </c>
      <c r="B70" s="7">
        <v>9</v>
      </c>
      <c r="C70" s="7" t="s">
        <v>16</v>
      </c>
      <c r="D70" s="7" t="s">
        <v>19</v>
      </c>
      <c r="E70" s="8">
        <v>2.9169559999999999</v>
      </c>
    </row>
    <row r="71" spans="1:14" ht="15" customHeight="1" x14ac:dyDescent="0.3">
      <c r="A71" s="6">
        <v>3</v>
      </c>
      <c r="B71" s="7">
        <v>10</v>
      </c>
      <c r="C71" s="7" t="s">
        <v>16</v>
      </c>
      <c r="D71" s="7" t="s">
        <v>19</v>
      </c>
      <c r="E71" s="8">
        <v>2.9316819999999999</v>
      </c>
      <c r="F71" s="15">
        <v>3.4115959999999999</v>
      </c>
      <c r="G71" s="11">
        <v>3.6121400000000001</v>
      </c>
      <c r="L71" s="9">
        <f t="shared" ref="L71:M85" si="6">((F71-E71)/E71)*100</f>
        <v>16.369920066364632</v>
      </c>
      <c r="M71" s="9">
        <f t="shared" si="6"/>
        <v>5.8783044651242493</v>
      </c>
    </row>
    <row r="72" spans="1:14" ht="15" customHeight="1" x14ac:dyDescent="0.3">
      <c r="A72" s="6">
        <v>3</v>
      </c>
      <c r="B72" s="7">
        <v>11</v>
      </c>
      <c r="C72" s="7" t="s">
        <v>16</v>
      </c>
      <c r="D72" s="7" t="s">
        <v>19</v>
      </c>
      <c r="E72" s="22">
        <v>3.439562</v>
      </c>
      <c r="F72" s="15">
        <v>4.2822870000000002</v>
      </c>
      <c r="G72" s="23">
        <v>4.9799160000000002</v>
      </c>
      <c r="H72" s="13">
        <v>5.057944</v>
      </c>
      <c r="K72" s="14">
        <v>5.057944</v>
      </c>
      <c r="L72" s="9">
        <f t="shared" si="6"/>
        <v>24.50093936379109</v>
      </c>
      <c r="M72" s="9">
        <f t="shared" si="6"/>
        <v>16.291037943043051</v>
      </c>
      <c r="N72" s="9">
        <f>((H72-G72)/G72)*100</f>
        <v>1.5668537380951759</v>
      </c>
    </row>
    <row r="73" spans="1:14" ht="15" customHeight="1" x14ac:dyDescent="0.3">
      <c r="A73" s="6">
        <v>3</v>
      </c>
      <c r="B73" s="7">
        <v>12</v>
      </c>
      <c r="C73" s="7" t="s">
        <v>16</v>
      </c>
      <c r="D73" s="7" t="s">
        <v>19</v>
      </c>
      <c r="E73" s="8">
        <v>3.038751</v>
      </c>
      <c r="F73" s="18">
        <v>3.543679</v>
      </c>
      <c r="G73" s="43">
        <v>3.6230150000000001</v>
      </c>
      <c r="H73" s="13">
        <v>3.5936170000000001</v>
      </c>
      <c r="K73" s="14">
        <v>3.5936170000000001</v>
      </c>
      <c r="L73" s="9">
        <f t="shared" si="6"/>
        <v>16.616300578757524</v>
      </c>
      <c r="M73" s="9">
        <f t="shared" si="6"/>
        <v>2.2388032324598273</v>
      </c>
      <c r="N73" s="20">
        <f>((H73-G73)/G73)*100</f>
        <v>-0.81142363473515944</v>
      </c>
    </row>
    <row r="74" spans="1:14" ht="15" customHeight="1" x14ac:dyDescent="0.3">
      <c r="A74" s="6">
        <v>3</v>
      </c>
      <c r="B74" s="7">
        <v>13</v>
      </c>
      <c r="C74" s="7" t="s">
        <v>16</v>
      </c>
      <c r="D74" s="7" t="s">
        <v>19</v>
      </c>
      <c r="E74" s="17">
        <v>3.0199919999999998</v>
      </c>
      <c r="F74" s="15">
        <v>3.6027939999999998</v>
      </c>
      <c r="G74" s="23">
        <v>3.1916099999999998</v>
      </c>
      <c r="L74" s="9">
        <f t="shared" si="6"/>
        <v>19.298130591074418</v>
      </c>
      <c r="M74" s="9">
        <f t="shared" si="6"/>
        <v>-11.412920083690603</v>
      </c>
    </row>
    <row r="75" spans="1:14" ht="15" customHeight="1" x14ac:dyDescent="0.3">
      <c r="A75" s="6">
        <v>3</v>
      </c>
      <c r="B75" s="7">
        <v>14</v>
      </c>
      <c r="C75" s="7" t="s">
        <v>16</v>
      </c>
      <c r="D75" s="7" t="s">
        <v>19</v>
      </c>
      <c r="E75" s="22">
        <v>3.2004990000000002</v>
      </c>
      <c r="F75" s="15">
        <v>3.8717980000000001</v>
      </c>
      <c r="G75" s="18">
        <v>4.2289859999999999</v>
      </c>
      <c r="L75" s="9">
        <f t="shared" si="6"/>
        <v>20.974822988540222</v>
      </c>
      <c r="M75" s="9">
        <f t="shared" si="6"/>
        <v>9.2253779768469286</v>
      </c>
    </row>
    <row r="76" spans="1:14" ht="15" customHeight="1" x14ac:dyDescent="0.3">
      <c r="A76" s="6">
        <v>3</v>
      </c>
      <c r="B76" s="7">
        <v>15</v>
      </c>
      <c r="C76" s="7" t="s">
        <v>16</v>
      </c>
      <c r="D76" s="7" t="s">
        <v>19</v>
      </c>
      <c r="E76" s="17">
        <v>2.9781360000000001</v>
      </c>
      <c r="F76" s="15">
        <v>3.609578</v>
      </c>
      <c r="G76" s="23">
        <v>3.878552</v>
      </c>
      <c r="H76" s="12">
        <v>4.0555060000000003</v>
      </c>
      <c r="L76" s="9">
        <f t="shared" si="6"/>
        <v>21.202591150974968</v>
      </c>
      <c r="M76" s="9">
        <f t="shared" si="6"/>
        <v>7.4516744062602349</v>
      </c>
      <c r="N76" s="9">
        <f>((H76-G76)/G76)*100</f>
        <v>4.5623727617935836</v>
      </c>
    </row>
    <row r="77" spans="1:14" ht="15" customHeight="1" x14ac:dyDescent="0.3">
      <c r="A77" s="6">
        <v>3</v>
      </c>
      <c r="B77" s="7">
        <v>16</v>
      </c>
      <c r="C77" s="7" t="s">
        <v>16</v>
      </c>
      <c r="D77" s="7" t="s">
        <v>19</v>
      </c>
      <c r="E77" s="8">
        <v>3.0766619999999998</v>
      </c>
      <c r="F77" s="15">
        <v>3.5163820000000001</v>
      </c>
      <c r="G77" s="12">
        <v>3.7089810000000001</v>
      </c>
      <c r="L77" s="9">
        <f t="shared" si="6"/>
        <v>14.292112685761399</v>
      </c>
      <c r="M77" s="9">
        <f t="shared" si="6"/>
        <v>5.4771921821918079</v>
      </c>
    </row>
    <row r="78" spans="1:14" ht="15" customHeight="1" x14ac:dyDescent="0.3">
      <c r="A78" s="6">
        <v>3</v>
      </c>
      <c r="B78" s="7">
        <v>17</v>
      </c>
      <c r="C78" s="7" t="s">
        <v>16</v>
      </c>
      <c r="D78" s="7" t="s">
        <v>19</v>
      </c>
      <c r="E78" s="10">
        <v>3.0108890000000001</v>
      </c>
      <c r="F78" s="11">
        <v>3.4181789999999999</v>
      </c>
      <c r="L78" s="9">
        <f t="shared" si="6"/>
        <v>13.527233983052836</v>
      </c>
    </row>
    <row r="79" spans="1:14" ht="15" customHeight="1" x14ac:dyDescent="0.3">
      <c r="A79" s="6">
        <v>3</v>
      </c>
      <c r="B79" s="7">
        <v>18</v>
      </c>
      <c r="C79" s="7" t="s">
        <v>16</v>
      </c>
      <c r="D79" s="7" t="s">
        <v>19</v>
      </c>
      <c r="E79" s="17">
        <v>2.9485510000000001</v>
      </c>
      <c r="F79" s="15">
        <v>3.6880839999999999</v>
      </c>
      <c r="G79" s="18">
        <v>3.8978280000000001</v>
      </c>
      <c r="L79" s="9">
        <f t="shared" si="6"/>
        <v>25.081234816694696</v>
      </c>
      <c r="M79" s="9">
        <f>((G79-F79)/F79)*100</f>
        <v>5.6870722033446137</v>
      </c>
    </row>
    <row r="80" spans="1:14" ht="15" customHeight="1" x14ac:dyDescent="0.3">
      <c r="A80" s="6">
        <v>3</v>
      </c>
      <c r="B80" s="7">
        <v>19</v>
      </c>
      <c r="C80" s="7" t="s">
        <v>16</v>
      </c>
      <c r="D80" s="7" t="s">
        <v>19</v>
      </c>
      <c r="E80" s="17">
        <v>2.7811530000000002</v>
      </c>
      <c r="F80" s="23">
        <v>3.4815070000000001</v>
      </c>
      <c r="L80" s="9">
        <f t="shared" si="6"/>
        <v>25.182145678429052</v>
      </c>
    </row>
    <row r="81" spans="1:14" ht="15" customHeight="1" x14ac:dyDescent="0.3">
      <c r="A81" s="6">
        <v>3</v>
      </c>
      <c r="B81" s="7">
        <v>20</v>
      </c>
      <c r="C81" s="7" t="s">
        <v>16</v>
      </c>
      <c r="D81" s="7" t="s">
        <v>19</v>
      </c>
      <c r="E81" s="17">
        <v>3.1906639999999999</v>
      </c>
      <c r="F81" s="11">
        <v>3.9282590000000002</v>
      </c>
      <c r="L81" s="9">
        <f t="shared" si="6"/>
        <v>23.11728843902085</v>
      </c>
    </row>
    <row r="82" spans="1:14" ht="15" customHeight="1" x14ac:dyDescent="0.3">
      <c r="A82" s="6">
        <v>3</v>
      </c>
      <c r="B82" s="7">
        <v>21</v>
      </c>
      <c r="C82" s="7" t="s">
        <v>16</v>
      </c>
      <c r="D82" s="7" t="s">
        <v>19</v>
      </c>
      <c r="E82" s="17">
        <v>3.0454650000000001</v>
      </c>
      <c r="F82" s="15">
        <v>3.728545</v>
      </c>
      <c r="G82" s="23">
        <v>3.994434</v>
      </c>
      <c r="H82" s="44">
        <v>4.0346989999999998</v>
      </c>
      <c r="K82" s="45">
        <v>4.0346989999999998</v>
      </c>
      <c r="L82" s="9">
        <f t="shared" si="6"/>
        <v>22.429415540812318</v>
      </c>
      <c r="M82" s="9">
        <f>((G82-F82)/F82)*100</f>
        <v>7.1311731519936066</v>
      </c>
      <c r="N82" s="9">
        <f>((H82-G82)/G82)*100</f>
        <v>1.0080276705035001</v>
      </c>
    </row>
    <row r="83" spans="1:14" ht="15" customHeight="1" x14ac:dyDescent="0.3">
      <c r="A83" s="6">
        <v>3</v>
      </c>
      <c r="B83" s="7">
        <v>22</v>
      </c>
      <c r="C83" s="7" t="s">
        <v>16</v>
      </c>
      <c r="D83" s="7" t="s">
        <v>19</v>
      </c>
      <c r="E83" s="22">
        <v>3.1050870000000002</v>
      </c>
      <c r="F83" s="15">
        <v>3.8564479999999999</v>
      </c>
      <c r="G83" s="23">
        <v>4.1502509999999999</v>
      </c>
      <c r="L83" s="9">
        <f t="shared" si="6"/>
        <v>24.197743895742686</v>
      </c>
      <c r="M83" s="9">
        <f>((G83-F83)/F83)*100</f>
        <v>7.6184872711884104</v>
      </c>
    </row>
    <row r="84" spans="1:14" ht="15" customHeight="1" x14ac:dyDescent="0.3">
      <c r="A84" s="6">
        <v>3</v>
      </c>
      <c r="B84" s="7">
        <v>23</v>
      </c>
      <c r="C84" s="7" t="s">
        <v>16</v>
      </c>
      <c r="D84" s="7" t="s">
        <v>19</v>
      </c>
      <c r="E84" s="8">
        <v>3.0444059999999999</v>
      </c>
      <c r="F84" s="18">
        <v>3.5862050000000001</v>
      </c>
      <c r="G84" s="16">
        <v>3.8588420000000001</v>
      </c>
      <c r="H84" s="44">
        <v>4.2118690000000001</v>
      </c>
      <c r="K84" s="45">
        <v>4.2118690000000001</v>
      </c>
      <c r="L84" s="9">
        <f t="shared" si="6"/>
        <v>17.79654224830723</v>
      </c>
      <c r="M84" s="9">
        <f>((G84-F84)/F84)*100</f>
        <v>7.6023819051058155</v>
      </c>
      <c r="N84" s="9">
        <f>((H84-G84)/G84)*100</f>
        <v>9.1485217586001184</v>
      </c>
    </row>
    <row r="85" spans="1:14" ht="15" customHeight="1" x14ac:dyDescent="0.3">
      <c r="A85" s="6">
        <v>3</v>
      </c>
      <c r="B85" s="7">
        <v>24</v>
      </c>
      <c r="C85" s="7" t="s">
        <v>16</v>
      </c>
      <c r="D85" s="7" t="s">
        <v>19</v>
      </c>
      <c r="E85" s="22">
        <v>3.2587899999999999</v>
      </c>
      <c r="F85" s="25">
        <v>3.967114</v>
      </c>
      <c r="G85" s="23">
        <v>4.2872170000000001</v>
      </c>
      <c r="L85" s="9">
        <f t="shared" si="6"/>
        <v>21.735797642683334</v>
      </c>
      <c r="M85" s="9">
        <f>((G85-F85)/F85)*100</f>
        <v>8.0689135729399251</v>
      </c>
    </row>
    <row r="86" spans="1:14" ht="15" customHeight="1" x14ac:dyDescent="0.3">
      <c r="A86" s="6">
        <v>3</v>
      </c>
      <c r="B86" s="7">
        <v>25</v>
      </c>
      <c r="C86" s="7" t="s">
        <v>16</v>
      </c>
      <c r="D86" s="7" t="s">
        <v>19</v>
      </c>
      <c r="F86" s="18">
        <v>3.28552</v>
      </c>
      <c r="G86" s="12">
        <v>3.322708</v>
      </c>
      <c r="M86" s="9">
        <f>((G86-F86)/F86)*100</f>
        <v>1.1318756239499379</v>
      </c>
    </row>
    <row r="87" spans="1:14" ht="15" customHeight="1" x14ac:dyDescent="0.3">
      <c r="A87" s="6">
        <v>3</v>
      </c>
      <c r="B87" s="7">
        <v>26</v>
      </c>
      <c r="C87" s="7" t="s">
        <v>16</v>
      </c>
      <c r="D87" s="7" t="s">
        <v>19</v>
      </c>
      <c r="E87" s="8">
        <v>3.034999</v>
      </c>
      <c r="F87" s="18">
        <v>3.7054879999999999</v>
      </c>
      <c r="L87" s="9">
        <f>((F87-E87)/E87)*100</f>
        <v>22.091901842471774</v>
      </c>
    </row>
    <row r="88" spans="1:14" ht="15" customHeight="1" x14ac:dyDescent="0.3">
      <c r="A88" s="6">
        <v>3</v>
      </c>
      <c r="B88" s="7">
        <v>27</v>
      </c>
      <c r="C88" s="7" t="s">
        <v>16</v>
      </c>
      <c r="D88" s="7" t="s">
        <v>19</v>
      </c>
      <c r="E88" s="10">
        <v>3.080622</v>
      </c>
    </row>
    <row r="89" spans="1:14" ht="15" customHeight="1" x14ac:dyDescent="0.3">
      <c r="A89" s="6">
        <v>3</v>
      </c>
      <c r="B89" s="7">
        <v>28</v>
      </c>
      <c r="C89" s="7" t="s">
        <v>16</v>
      </c>
      <c r="D89" s="7" t="s">
        <v>19</v>
      </c>
      <c r="E89" s="17">
        <v>3.0318719999999999</v>
      </c>
      <c r="F89" s="15">
        <v>3.496842</v>
      </c>
      <c r="G89" s="16">
        <v>3.660784</v>
      </c>
      <c r="L89" s="9">
        <f>((F89-E89)/E89)*100</f>
        <v>15.336069596605665</v>
      </c>
      <c r="M89" s="9">
        <f>((G89-F89)/F89)*100</f>
        <v>4.688287317528216</v>
      </c>
    </row>
    <row r="90" spans="1:14" ht="15" customHeight="1" x14ac:dyDescent="0.3">
      <c r="A90" s="6">
        <v>3</v>
      </c>
      <c r="B90" s="7">
        <v>29</v>
      </c>
      <c r="C90" s="7" t="s">
        <v>16</v>
      </c>
      <c r="D90" s="7" t="s">
        <v>19</v>
      </c>
      <c r="E90" s="10">
        <v>2.9479359999999999</v>
      </c>
    </row>
    <row r="91" spans="1:14" ht="15" customHeight="1" x14ac:dyDescent="0.3">
      <c r="A91" s="6">
        <v>3</v>
      </c>
      <c r="B91" s="7">
        <v>30</v>
      </c>
      <c r="C91" s="7" t="s">
        <v>16</v>
      </c>
      <c r="D91" s="7" t="s">
        <v>19</v>
      </c>
      <c r="E91" s="10">
        <v>2.7847119999999999</v>
      </c>
      <c r="G91" s="12">
        <v>3.0799449999999999</v>
      </c>
    </row>
    <row r="92" spans="1:14" ht="15" customHeight="1" x14ac:dyDescent="0.3">
      <c r="A92" s="6">
        <v>4</v>
      </c>
      <c r="B92" s="7">
        <v>1</v>
      </c>
      <c r="C92" s="7">
        <v>7.8</v>
      </c>
      <c r="D92" s="7" t="s">
        <v>17</v>
      </c>
      <c r="E92" s="17">
        <v>3.2569560000000002</v>
      </c>
      <c r="G92" s="19">
        <v>4.1247259999999999</v>
      </c>
      <c r="H92" s="44">
        <v>4.0576910000000002</v>
      </c>
      <c r="K92" s="45">
        <v>4.0576910000000002</v>
      </c>
      <c r="N92" s="20">
        <f>((H92-G92)/G92)*100</f>
        <v>-1.6251988616940796</v>
      </c>
    </row>
    <row r="93" spans="1:14" ht="15" customHeight="1" x14ac:dyDescent="0.3">
      <c r="A93" s="26">
        <v>4</v>
      </c>
      <c r="B93" s="27">
        <v>2</v>
      </c>
      <c r="C93" s="27">
        <v>7.8</v>
      </c>
      <c r="D93" s="27" t="s">
        <v>16</v>
      </c>
      <c r="E93" s="38">
        <v>2.9210419999999999</v>
      </c>
      <c r="F93" s="18">
        <v>3.570589</v>
      </c>
      <c r="L93" s="9">
        <f>((F93-E93)/E93)*100</f>
        <v>22.236825078174164</v>
      </c>
    </row>
    <row r="94" spans="1:14" ht="15" customHeight="1" x14ac:dyDescent="0.3">
      <c r="A94" s="6">
        <v>4</v>
      </c>
      <c r="B94" s="7">
        <v>3</v>
      </c>
      <c r="C94" s="7">
        <v>7.8</v>
      </c>
      <c r="D94" s="7" t="s">
        <v>17</v>
      </c>
      <c r="E94" s="10">
        <v>2.7887659999999999</v>
      </c>
    </row>
    <row r="95" spans="1:14" ht="15" customHeight="1" x14ac:dyDescent="0.3">
      <c r="A95" s="6">
        <v>4</v>
      </c>
      <c r="B95" s="7">
        <v>4</v>
      </c>
      <c r="C95" s="7">
        <v>7.8</v>
      </c>
      <c r="D95" s="7" t="s">
        <v>17</v>
      </c>
      <c r="E95" s="17">
        <v>3.2212139999999998</v>
      </c>
      <c r="F95" s="15">
        <v>3.9833449999999999</v>
      </c>
      <c r="G95" s="43">
        <v>4.2749779999999999</v>
      </c>
      <c r="H95" s="44">
        <v>4.3917250000000001</v>
      </c>
      <c r="K95" s="45">
        <v>4.3917250000000001</v>
      </c>
      <c r="L95" s="9">
        <f>((F95-E95)/E95)*100</f>
        <v>23.659744431757719</v>
      </c>
      <c r="M95" s="9">
        <f>((G95-F95)/F95)*100</f>
        <v>7.3213091007683246</v>
      </c>
      <c r="N95" s="9">
        <f>((H95-G95)/G95)*100</f>
        <v>2.7309380305582898</v>
      </c>
    </row>
    <row r="96" spans="1:14" ht="15" customHeight="1" x14ac:dyDescent="0.3">
      <c r="A96" s="6">
        <v>4</v>
      </c>
      <c r="B96" s="7">
        <v>5</v>
      </c>
      <c r="C96" s="7">
        <v>7.8</v>
      </c>
      <c r="D96" s="7" t="s">
        <v>17</v>
      </c>
      <c r="E96" s="47">
        <v>3.3232529999999998</v>
      </c>
      <c r="F96" s="15">
        <v>4.0863040000000002</v>
      </c>
      <c r="L96" s="9">
        <f>((F96-E96)/E96)*100</f>
        <v>22.960966258061013</v>
      </c>
    </row>
    <row r="97" spans="1:15" ht="15" customHeight="1" x14ac:dyDescent="0.3">
      <c r="A97" s="6">
        <v>4</v>
      </c>
      <c r="B97" s="7">
        <v>6</v>
      </c>
      <c r="C97" s="7">
        <v>7.8</v>
      </c>
      <c r="D97" s="7" t="s">
        <v>17</v>
      </c>
      <c r="E97" s="17">
        <v>2.923978</v>
      </c>
      <c r="F97" s="15">
        <v>3.7279960000000001</v>
      </c>
      <c r="G97" s="48">
        <v>3.8712070000000001</v>
      </c>
      <c r="H97" s="49">
        <v>4.0331279999999996</v>
      </c>
      <c r="I97" s="44">
        <v>4.5305169999999997</v>
      </c>
      <c r="K97" s="45">
        <v>4.5305169999999997</v>
      </c>
      <c r="L97" s="9">
        <f>((F97-E97)/E97)*100</f>
        <v>27.497402511236409</v>
      </c>
      <c r="M97" s="9">
        <f>((G97-F97)/F97)*100</f>
        <v>3.8415009028979639</v>
      </c>
      <c r="N97" s="9">
        <f>((H97-G97)/G97)*100</f>
        <v>4.1827006409112073</v>
      </c>
      <c r="O97" s="9">
        <f>((I97-H97)/H97)*100</f>
        <v>12.332586518454166</v>
      </c>
    </row>
    <row r="98" spans="1:15" ht="15" customHeight="1" x14ac:dyDescent="0.3">
      <c r="A98" s="6">
        <v>4</v>
      </c>
      <c r="B98" s="7">
        <v>7</v>
      </c>
      <c r="C98" s="7">
        <v>7.8</v>
      </c>
      <c r="D98" s="7" t="s">
        <v>17</v>
      </c>
      <c r="F98" s="11">
        <v>3.5873699999999999</v>
      </c>
      <c r="G98" s="49">
        <v>3.7424840000000001</v>
      </c>
      <c r="H98" s="44">
        <v>4.199846</v>
      </c>
      <c r="K98" s="45">
        <v>4.199846</v>
      </c>
      <c r="M98" s="9">
        <f>((G98-F98)/F98)*100</f>
        <v>4.3238918762213041</v>
      </c>
      <c r="N98" s="9">
        <f>((H98-G98)/G98)*100</f>
        <v>12.220813769678102</v>
      </c>
    </row>
    <row r="99" spans="1:15" ht="15" customHeight="1" x14ac:dyDescent="0.3">
      <c r="A99" s="6">
        <v>4</v>
      </c>
      <c r="B99" s="7">
        <v>8</v>
      </c>
      <c r="C99" s="7">
        <v>7.8</v>
      </c>
      <c r="D99" s="7" t="s">
        <v>17</v>
      </c>
      <c r="E99" s="21">
        <v>3.3381859999999999</v>
      </c>
      <c r="F99" s="25">
        <v>4.2451749999999997</v>
      </c>
      <c r="G99" s="48">
        <v>4.682226</v>
      </c>
      <c r="H99" s="44">
        <v>4.4718850000000003</v>
      </c>
      <c r="K99" s="45">
        <v>4.4718850000000003</v>
      </c>
      <c r="L99" s="9">
        <f>((F99-E99)/E99)*100</f>
        <v>27.170115745497704</v>
      </c>
      <c r="M99" s="9">
        <f>((G99-F99)/F99)*100</f>
        <v>10.295241067800511</v>
      </c>
      <c r="N99" s="20">
        <f>((H99-G99)/G99)*100</f>
        <v>-4.4923290759565999</v>
      </c>
    </row>
    <row r="100" spans="1:15" ht="15" customHeight="1" x14ac:dyDescent="0.3">
      <c r="A100" s="6">
        <v>4</v>
      </c>
      <c r="B100" s="7">
        <v>9</v>
      </c>
      <c r="C100" s="7">
        <v>7.8</v>
      </c>
      <c r="D100" s="7" t="s">
        <v>17</v>
      </c>
      <c r="E100" s="8">
        <v>3.3455900000000001</v>
      </c>
      <c r="F100" s="18">
        <v>3.9540670000000002</v>
      </c>
      <c r="L100" s="9">
        <f>((F100-E100)/E100)*100</f>
        <v>18.187434802232197</v>
      </c>
    </row>
    <row r="101" spans="1:15" ht="15" customHeight="1" x14ac:dyDescent="0.3">
      <c r="A101" s="6">
        <v>4</v>
      </c>
      <c r="B101" s="7">
        <v>10</v>
      </c>
      <c r="C101" s="7">
        <v>7.8</v>
      </c>
      <c r="D101" s="7" t="s">
        <v>17</v>
      </c>
      <c r="E101" s="46" t="s">
        <v>20</v>
      </c>
      <c r="F101" s="18">
        <v>3.5044149999999998</v>
      </c>
      <c r="G101" s="23">
        <v>3.8466849999999999</v>
      </c>
      <c r="M101" s="9">
        <f>((G101-F101)/F101)*100</f>
        <v>9.7668227079270036</v>
      </c>
    </row>
    <row r="102" spans="1:15" ht="15" customHeight="1" x14ac:dyDescent="0.3">
      <c r="A102" s="6">
        <v>4</v>
      </c>
      <c r="B102" s="7">
        <v>11</v>
      </c>
      <c r="C102" s="7">
        <v>7.8</v>
      </c>
      <c r="D102" s="7" t="s">
        <v>17</v>
      </c>
      <c r="F102" s="11">
        <v>3.6596760000000002</v>
      </c>
    </row>
    <row r="103" spans="1:15" ht="15" customHeight="1" x14ac:dyDescent="0.3">
      <c r="A103" s="6">
        <v>4</v>
      </c>
      <c r="B103" s="7">
        <v>12</v>
      </c>
      <c r="C103" s="7">
        <v>7.8</v>
      </c>
      <c r="D103" s="7" t="s">
        <v>17</v>
      </c>
      <c r="E103" s="8">
        <v>3.1364399999999999</v>
      </c>
      <c r="F103" s="23">
        <v>3.7863090000000001</v>
      </c>
      <c r="L103" s="9">
        <f>((F103-E103)/E103)*100</f>
        <v>20.719956383670667</v>
      </c>
    </row>
    <row r="104" spans="1:15" ht="15" customHeight="1" x14ac:dyDescent="0.3">
      <c r="A104" s="6">
        <v>4</v>
      </c>
      <c r="B104" s="7">
        <v>13</v>
      </c>
      <c r="C104" s="7">
        <v>7.8</v>
      </c>
      <c r="D104" s="7" t="s">
        <v>17</v>
      </c>
      <c r="E104" s="10">
        <v>2.9658000000000002</v>
      </c>
    </row>
    <row r="105" spans="1:15" ht="15" customHeight="1" x14ac:dyDescent="0.3">
      <c r="A105" s="6">
        <v>4</v>
      </c>
      <c r="B105" s="7">
        <v>14</v>
      </c>
      <c r="C105" s="7">
        <v>7.8</v>
      </c>
      <c r="D105" s="7" t="s">
        <v>17</v>
      </c>
      <c r="E105" s="8">
        <v>2.9743469999999999</v>
      </c>
      <c r="F105" s="18">
        <v>3.4203839999999999</v>
      </c>
      <c r="G105" s="11">
        <v>3.7548360000000001</v>
      </c>
      <c r="L105" s="9">
        <f t="shared" ref="L105:M115" si="7">((F105-E105)/E105)*100</f>
        <v>14.996131924082833</v>
      </c>
      <c r="M105" s="9">
        <f t="shared" si="7"/>
        <v>9.7782003424176995</v>
      </c>
    </row>
    <row r="106" spans="1:15" ht="15" customHeight="1" x14ac:dyDescent="0.3">
      <c r="A106" s="6">
        <v>4</v>
      </c>
      <c r="B106" s="7">
        <v>15</v>
      </c>
      <c r="C106" s="7">
        <v>7.8</v>
      </c>
      <c r="D106" s="7" t="s">
        <v>17</v>
      </c>
      <c r="E106" s="8">
        <v>3.0979779999999999</v>
      </c>
      <c r="F106" s="18">
        <v>3.790724</v>
      </c>
      <c r="G106" s="44">
        <v>3.9341979999999999</v>
      </c>
      <c r="K106" s="45">
        <v>3.9341979999999999</v>
      </c>
      <c r="L106" s="9">
        <f t="shared" si="7"/>
        <v>22.361230454186572</v>
      </c>
      <c r="M106" s="9">
        <f t="shared" si="7"/>
        <v>3.78487064740139</v>
      </c>
    </row>
    <row r="107" spans="1:15" ht="15" customHeight="1" x14ac:dyDescent="0.3">
      <c r="A107" s="6">
        <v>4</v>
      </c>
      <c r="B107" s="7">
        <v>16</v>
      </c>
      <c r="C107" s="7">
        <v>7.8</v>
      </c>
      <c r="D107" s="7" t="s">
        <v>17</v>
      </c>
      <c r="E107" s="10">
        <v>2.8686389999999999</v>
      </c>
      <c r="F107" s="23">
        <v>3.325253</v>
      </c>
      <c r="G107" s="23">
        <v>3.4593240000000001</v>
      </c>
      <c r="L107" s="9">
        <f t="shared" si="7"/>
        <v>15.917443777345289</v>
      </c>
      <c r="M107" s="9">
        <f t="shared" si="7"/>
        <v>4.0319037378509259</v>
      </c>
    </row>
    <row r="108" spans="1:15" ht="15" customHeight="1" x14ac:dyDescent="0.3">
      <c r="A108" s="6">
        <v>4</v>
      </c>
      <c r="B108" s="7">
        <v>17</v>
      </c>
      <c r="C108" s="7">
        <v>7.8</v>
      </c>
      <c r="D108" s="7" t="s">
        <v>17</v>
      </c>
      <c r="F108" s="23">
        <v>3.764532</v>
      </c>
      <c r="G108" s="23">
        <v>3.7556180000000001</v>
      </c>
      <c r="M108" s="20">
        <f t="shared" si="7"/>
        <v>-0.2367890616947835</v>
      </c>
    </row>
    <row r="109" spans="1:15" ht="15" customHeight="1" x14ac:dyDescent="0.3">
      <c r="A109" s="6">
        <v>4</v>
      </c>
      <c r="B109" s="7">
        <v>18</v>
      </c>
      <c r="C109" s="7">
        <v>7.8</v>
      </c>
      <c r="D109" s="7" t="s">
        <v>17</v>
      </c>
      <c r="E109" s="8">
        <v>3.0214099999999999</v>
      </c>
      <c r="F109" s="11">
        <v>3.6475119999999999</v>
      </c>
      <c r="G109" s="49">
        <v>3.6629659999999999</v>
      </c>
      <c r="H109" s="44">
        <v>3.9865020000000002</v>
      </c>
      <c r="K109" s="45">
        <v>3.9865020000000002</v>
      </c>
      <c r="L109" s="9">
        <f>((F109-E109)/E109)*100</f>
        <v>20.722179379825974</v>
      </c>
      <c r="M109" s="9">
        <f t="shared" si="7"/>
        <v>0.42368606326723746</v>
      </c>
      <c r="N109" s="9">
        <f>((H109-G109)/G109)*100</f>
        <v>8.8326236170360382</v>
      </c>
    </row>
    <row r="110" spans="1:15" ht="15" customHeight="1" x14ac:dyDescent="0.3">
      <c r="A110" s="6">
        <v>4</v>
      </c>
      <c r="B110" s="7">
        <v>19</v>
      </c>
      <c r="C110" s="7">
        <v>7.8</v>
      </c>
      <c r="D110" s="7" t="s">
        <v>17</v>
      </c>
      <c r="E110" s="47">
        <v>2.701203</v>
      </c>
      <c r="F110" s="15">
        <v>3.7089560000000001</v>
      </c>
      <c r="G110" s="44">
        <v>4.1023690000000004</v>
      </c>
      <c r="K110" s="45">
        <v>4.1023690000000004</v>
      </c>
      <c r="L110" s="9">
        <f>((F110-E110)/E110)*100</f>
        <v>37.307562593407461</v>
      </c>
      <c r="M110" s="9">
        <f t="shared" si="7"/>
        <v>10.607108846802179</v>
      </c>
    </row>
    <row r="111" spans="1:15" ht="15" customHeight="1" x14ac:dyDescent="0.3">
      <c r="A111" s="6">
        <v>4</v>
      </c>
      <c r="B111" s="7">
        <v>20</v>
      </c>
      <c r="C111" s="7">
        <v>7.8</v>
      </c>
      <c r="D111" s="7" t="s">
        <v>17</v>
      </c>
      <c r="E111" s="8">
        <v>3.0213130000000001</v>
      </c>
      <c r="F111" s="18">
        <v>3.4789189999999999</v>
      </c>
      <c r="G111" s="11">
        <v>3.6360640000000002</v>
      </c>
      <c r="L111" s="9">
        <f>((F111-E111)/E111)*100</f>
        <v>15.145931586697561</v>
      </c>
      <c r="M111" s="9">
        <f t="shared" si="7"/>
        <v>4.5170640650156075</v>
      </c>
    </row>
    <row r="112" spans="1:15" ht="15" customHeight="1" x14ac:dyDescent="0.3">
      <c r="A112" s="6">
        <v>4</v>
      </c>
      <c r="B112" s="7">
        <v>21</v>
      </c>
      <c r="C112" s="7">
        <v>7.8</v>
      </c>
      <c r="D112" s="7" t="s">
        <v>17</v>
      </c>
      <c r="E112" s="10">
        <v>2.7876660000000002</v>
      </c>
      <c r="F112" s="23">
        <v>3.142579</v>
      </c>
      <c r="G112" s="23">
        <v>3.243878</v>
      </c>
      <c r="L112" s="9">
        <f>((F112-E112)/E112)*100</f>
        <v>12.731546749144259</v>
      </c>
      <c r="M112" s="9">
        <f t="shared" si="7"/>
        <v>3.2234352740217522</v>
      </c>
    </row>
    <row r="113" spans="1:16" ht="15" customHeight="1" x14ac:dyDescent="0.3">
      <c r="A113" s="6">
        <v>4</v>
      </c>
      <c r="B113" s="7">
        <v>22</v>
      </c>
      <c r="C113" s="7">
        <v>7.8</v>
      </c>
      <c r="D113" s="7" t="s">
        <v>17</v>
      </c>
      <c r="E113" s="10">
        <v>2.969233</v>
      </c>
      <c r="F113" s="23">
        <v>3.2972009999999998</v>
      </c>
      <c r="G113" s="23">
        <v>3.433916</v>
      </c>
      <c r="L113" s="9">
        <f>((F113-E113)/E113)*100</f>
        <v>11.04554610567779</v>
      </c>
      <c r="M113" s="9">
        <f t="shared" si="7"/>
        <v>4.1463956853100603</v>
      </c>
    </row>
    <row r="114" spans="1:16" ht="15" customHeight="1" x14ac:dyDescent="0.3">
      <c r="A114" s="6">
        <v>4</v>
      </c>
      <c r="B114" s="7">
        <v>23</v>
      </c>
      <c r="C114" s="7">
        <v>7.8</v>
      </c>
      <c r="D114" s="7" t="s">
        <v>17</v>
      </c>
      <c r="F114" s="11">
        <v>3.8644020000000001</v>
      </c>
      <c r="G114" s="11">
        <v>3.5383</v>
      </c>
      <c r="M114" s="20">
        <f t="shared" si="7"/>
        <v>-8.4386148231990372</v>
      </c>
    </row>
    <row r="115" spans="1:16" ht="15" customHeight="1" x14ac:dyDescent="0.3">
      <c r="A115" s="6">
        <v>4</v>
      </c>
      <c r="B115" s="7">
        <v>25</v>
      </c>
      <c r="C115" s="7">
        <v>7.8</v>
      </c>
      <c r="D115" s="7" t="s">
        <v>17</v>
      </c>
      <c r="E115" s="8">
        <v>3.0560170000000002</v>
      </c>
      <c r="F115" s="18">
        <v>3.5033590000000001</v>
      </c>
      <c r="G115" s="11">
        <v>3.6971250000000002</v>
      </c>
      <c r="L115" s="9">
        <f>((F115-E115)/E115)*100</f>
        <v>14.638073021190651</v>
      </c>
      <c r="M115" s="9">
        <f t="shared" si="7"/>
        <v>5.5308633799733373</v>
      </c>
    </row>
    <row r="116" spans="1:16" ht="15" customHeight="1" x14ac:dyDescent="0.3">
      <c r="A116" s="6">
        <v>4</v>
      </c>
      <c r="B116" s="7">
        <v>26</v>
      </c>
      <c r="C116" s="7">
        <v>7.8</v>
      </c>
      <c r="D116" s="7" t="s">
        <v>17</v>
      </c>
      <c r="E116" s="50">
        <v>3.7696689999999999</v>
      </c>
    </row>
    <row r="117" spans="1:16" ht="15" customHeight="1" x14ac:dyDescent="0.3">
      <c r="A117" s="6">
        <v>4</v>
      </c>
      <c r="B117" s="7">
        <v>27</v>
      </c>
      <c r="C117" s="7">
        <v>7.8</v>
      </c>
      <c r="D117" s="7" t="s">
        <v>17</v>
      </c>
      <c r="E117" s="47">
        <v>3.0303019999999998</v>
      </c>
      <c r="F117" s="15">
        <v>4.1670129999999999</v>
      </c>
      <c r="G117" s="48">
        <v>4.533995</v>
      </c>
      <c r="L117" s="9">
        <f t="shared" ref="L117:M119" si="8">((F117-E117)/E117)*100</f>
        <v>37.511475753901756</v>
      </c>
      <c r="M117" s="9">
        <f t="shared" si="8"/>
        <v>8.806835975793696</v>
      </c>
    </row>
    <row r="118" spans="1:16" ht="15" customHeight="1" x14ac:dyDescent="0.3">
      <c r="A118" s="6">
        <v>4</v>
      </c>
      <c r="B118" s="7">
        <v>28</v>
      </c>
      <c r="C118" s="7">
        <v>7.8</v>
      </c>
      <c r="D118" s="7" t="s">
        <v>17</v>
      </c>
      <c r="E118" s="17">
        <v>3.0436000000000001</v>
      </c>
      <c r="F118" s="18">
        <v>3.7159779999999998</v>
      </c>
      <c r="G118" s="23">
        <v>3.5877110000000001</v>
      </c>
      <c r="L118" s="9">
        <f t="shared" si="8"/>
        <v>22.091536338546447</v>
      </c>
      <c r="M118" s="20">
        <f t="shared" si="8"/>
        <v>-3.4517696283454775</v>
      </c>
    </row>
    <row r="119" spans="1:16" ht="15" customHeight="1" x14ac:dyDescent="0.3">
      <c r="A119" s="6">
        <v>4</v>
      </c>
      <c r="B119" s="7">
        <v>29</v>
      </c>
      <c r="C119" s="7">
        <v>7.8</v>
      </c>
      <c r="D119" s="7" t="s">
        <v>17</v>
      </c>
      <c r="E119" s="47">
        <v>3.3383829999999999</v>
      </c>
      <c r="F119" s="15">
        <v>4.215903</v>
      </c>
      <c r="G119" s="23">
        <v>4.6216670000000004</v>
      </c>
      <c r="L119" s="9">
        <f t="shared" si="8"/>
        <v>26.285779672374321</v>
      </c>
      <c r="M119" s="9">
        <f t="shared" si="8"/>
        <v>9.624604740668854</v>
      </c>
    </row>
    <row r="120" spans="1:16" ht="15" customHeight="1" x14ac:dyDescent="0.3">
      <c r="A120" s="6">
        <v>4</v>
      </c>
      <c r="B120" s="7">
        <v>30</v>
      </c>
      <c r="C120" s="7">
        <v>7.8</v>
      </c>
      <c r="D120" s="7" t="s">
        <v>17</v>
      </c>
      <c r="E120" s="10">
        <v>3.0244309999999999</v>
      </c>
      <c r="G120" s="48">
        <v>3.5204240000000002</v>
      </c>
    </row>
    <row r="121" spans="1:16" ht="15" customHeight="1" x14ac:dyDescent="0.3">
      <c r="A121" s="6">
        <v>5</v>
      </c>
      <c r="B121" s="7">
        <v>1</v>
      </c>
      <c r="C121" s="7">
        <v>7.8</v>
      </c>
      <c r="D121" s="7" t="s">
        <v>19</v>
      </c>
      <c r="E121" s="47">
        <v>3.0099990000000001</v>
      </c>
      <c r="G121" s="11">
        <v>4.3304660000000004</v>
      </c>
      <c r="H121" s="12">
        <v>4.3342679999999998</v>
      </c>
      <c r="I121" s="44">
        <v>4.6049550000000004</v>
      </c>
      <c r="K121" s="45">
        <v>4.6049550000000004</v>
      </c>
      <c r="N121" s="9">
        <f>((H121-G121)/G121)*100</f>
        <v>8.7796555844091989E-2</v>
      </c>
      <c r="O121" s="9">
        <f>((I121-H121)/H121)*100</f>
        <v>6.2452760189263925</v>
      </c>
    </row>
    <row r="122" spans="1:16" ht="15" customHeight="1" x14ac:dyDescent="0.3">
      <c r="A122" s="6">
        <v>5</v>
      </c>
      <c r="B122" s="7">
        <v>2</v>
      </c>
      <c r="C122" s="7">
        <v>7.8</v>
      </c>
      <c r="D122" s="7" t="s">
        <v>19</v>
      </c>
      <c r="E122" s="21">
        <v>3.2412930000000002</v>
      </c>
      <c r="F122" s="25">
        <v>4.0682130000000001</v>
      </c>
      <c r="G122" s="23">
        <v>4.496594</v>
      </c>
      <c r="L122" s="9">
        <f>((F122-E122)/E122)*100</f>
        <v>25.512041028071199</v>
      </c>
      <c r="M122" s="9">
        <f>((G122-F122)/F122)*100</f>
        <v>10.529955044143458</v>
      </c>
    </row>
    <row r="123" spans="1:16" s="27" customFormat="1" ht="15" customHeight="1" x14ac:dyDescent="0.3">
      <c r="A123" s="26">
        <v>5</v>
      </c>
      <c r="B123" s="27">
        <v>3</v>
      </c>
      <c r="C123" s="27">
        <v>7.8</v>
      </c>
      <c r="D123" s="27" t="s">
        <v>19</v>
      </c>
      <c r="E123" s="51"/>
      <c r="F123" s="20"/>
      <c r="G123" s="36">
        <v>3.6113749999999998</v>
      </c>
      <c r="H123" s="52">
        <v>3.7610079999999999</v>
      </c>
      <c r="I123" s="20"/>
      <c r="J123" s="20"/>
      <c r="K123" s="45">
        <v>3.7610079999999999</v>
      </c>
      <c r="L123" s="9"/>
      <c r="M123" s="9"/>
      <c r="N123" s="9">
        <f>((H123-G123)/G123)*100</f>
        <v>4.1433802914402449</v>
      </c>
      <c r="O123" s="9"/>
      <c r="P123" s="9"/>
    </row>
    <row r="124" spans="1:16" ht="15" customHeight="1" x14ac:dyDescent="0.3">
      <c r="A124" s="6">
        <v>5</v>
      </c>
      <c r="B124" s="7">
        <v>4</v>
      </c>
      <c r="C124" s="7">
        <v>7.8</v>
      </c>
      <c r="D124" s="7" t="s">
        <v>19</v>
      </c>
      <c r="E124" s="8">
        <v>3.0436190000000001</v>
      </c>
      <c r="F124" s="15">
        <v>3.6394410000000001</v>
      </c>
      <c r="L124" s="9">
        <f t="shared" ref="L124:L132" si="9">((F124-E124)/E124)*100</f>
        <v>19.576103316479497</v>
      </c>
    </row>
    <row r="125" spans="1:16" ht="15" customHeight="1" x14ac:dyDescent="0.3">
      <c r="A125" s="6">
        <v>5</v>
      </c>
      <c r="B125" s="7">
        <v>5</v>
      </c>
      <c r="C125" s="7">
        <v>7.8</v>
      </c>
      <c r="D125" s="7" t="s">
        <v>19</v>
      </c>
      <c r="E125" s="8">
        <v>2.9861339999999998</v>
      </c>
      <c r="F125" s="18">
        <v>3.3117380000000001</v>
      </c>
      <c r="L125" s="9">
        <f t="shared" si="9"/>
        <v>10.90386432758879</v>
      </c>
    </row>
    <row r="126" spans="1:16" ht="15" customHeight="1" x14ac:dyDescent="0.3">
      <c r="A126" s="6">
        <v>5</v>
      </c>
      <c r="B126" s="7">
        <v>6</v>
      </c>
      <c r="C126" s="7">
        <v>7.8</v>
      </c>
      <c r="D126" s="7" t="s">
        <v>19</v>
      </c>
      <c r="E126" s="17">
        <v>2.978869</v>
      </c>
      <c r="F126" s="15">
        <v>3.6209669999999998</v>
      </c>
      <c r="G126" s="23">
        <v>4.0003510000000002</v>
      </c>
      <c r="H126" s="44">
        <v>4.0989319999999996</v>
      </c>
      <c r="K126" s="45">
        <v>4.0989319999999996</v>
      </c>
      <c r="L126" s="9">
        <f t="shared" si="9"/>
        <v>21.555093560676884</v>
      </c>
      <c r="M126" s="9">
        <f>((G126-F126)/F126)*100</f>
        <v>10.477422191364914</v>
      </c>
      <c r="N126" s="9">
        <f>((H126-G126)/G126)*100</f>
        <v>2.4643087569065654</v>
      </c>
    </row>
    <row r="127" spans="1:16" ht="15" customHeight="1" x14ac:dyDescent="0.3">
      <c r="A127" s="6">
        <v>5</v>
      </c>
      <c r="B127" s="7">
        <v>7</v>
      </c>
      <c r="C127" s="7">
        <v>7.8</v>
      </c>
      <c r="D127" s="7" t="s">
        <v>19</v>
      </c>
      <c r="E127" s="47">
        <v>3.4113660000000001</v>
      </c>
      <c r="F127" s="15">
        <v>4.3722940000000001</v>
      </c>
      <c r="G127" s="48">
        <v>4.4636250000000004</v>
      </c>
      <c r="L127" s="9">
        <f t="shared" si="9"/>
        <v>28.168422854657049</v>
      </c>
      <c r="M127" s="9">
        <f>((G127-F127)/F127)*100</f>
        <v>2.0888577026156123</v>
      </c>
    </row>
    <row r="128" spans="1:16" ht="15" customHeight="1" x14ac:dyDescent="0.3">
      <c r="A128" s="6">
        <v>5</v>
      </c>
      <c r="B128" s="7">
        <v>8</v>
      </c>
      <c r="C128" s="7">
        <v>7.8</v>
      </c>
      <c r="D128" s="7" t="s">
        <v>19</v>
      </c>
      <c r="E128" s="10">
        <v>2.9892159999999999</v>
      </c>
      <c r="F128" s="18">
        <v>3.3051240000000002</v>
      </c>
      <c r="L128" s="9">
        <f t="shared" si="9"/>
        <v>10.568256024322107</v>
      </c>
    </row>
    <row r="129" spans="1:15" ht="15" customHeight="1" x14ac:dyDescent="0.3">
      <c r="A129" s="6">
        <v>5</v>
      </c>
      <c r="B129" s="7">
        <v>9</v>
      </c>
      <c r="C129" s="7">
        <v>7.8</v>
      </c>
      <c r="D129" s="7" t="s">
        <v>19</v>
      </c>
      <c r="E129" s="21">
        <v>3.3808389999999999</v>
      </c>
      <c r="F129" s="15">
        <v>4.3831850000000001</v>
      </c>
      <c r="G129" s="44">
        <v>4.7695689999999997</v>
      </c>
      <c r="K129" s="45">
        <v>4.7695689999999997</v>
      </c>
      <c r="L129" s="9">
        <f t="shared" si="9"/>
        <v>29.647847767965295</v>
      </c>
      <c r="M129" s="9">
        <f>((G129-F129)/F129)*100</f>
        <v>8.8151424135645566</v>
      </c>
    </row>
    <row r="130" spans="1:15" ht="15" customHeight="1" x14ac:dyDescent="0.3">
      <c r="A130" s="6">
        <v>5</v>
      </c>
      <c r="B130" s="7">
        <v>10</v>
      </c>
      <c r="C130" s="7">
        <v>7.8</v>
      </c>
      <c r="D130" s="7" t="s">
        <v>19</v>
      </c>
      <c r="E130" s="8">
        <v>3.0410740000000001</v>
      </c>
      <c r="F130" s="18">
        <v>3.365424</v>
      </c>
      <c r="G130" s="23">
        <v>3.5285690000000001</v>
      </c>
      <c r="L130" s="9">
        <f t="shared" si="9"/>
        <v>10.665639836452513</v>
      </c>
      <c r="M130" s="9">
        <f>((G130-F130)/F130)*100</f>
        <v>4.84768041114582</v>
      </c>
    </row>
    <row r="131" spans="1:15" ht="15" customHeight="1" x14ac:dyDescent="0.3">
      <c r="A131" s="6">
        <v>5</v>
      </c>
      <c r="B131" s="7">
        <v>11</v>
      </c>
      <c r="C131" s="7">
        <v>7.8</v>
      </c>
      <c r="D131" s="7" t="s">
        <v>19</v>
      </c>
      <c r="E131" s="8">
        <v>3.1213860000000002</v>
      </c>
      <c r="F131" s="18">
        <v>3.6113279999999999</v>
      </c>
      <c r="G131" s="16">
        <v>3.851267</v>
      </c>
      <c r="L131" s="9">
        <f t="shared" si="9"/>
        <v>15.696296452921862</v>
      </c>
      <c r="M131" s="9">
        <f>((G131-F131)/F131)*100</f>
        <v>6.6440655625852916</v>
      </c>
    </row>
    <row r="132" spans="1:15" ht="15" customHeight="1" x14ac:dyDescent="0.3">
      <c r="A132" s="6">
        <v>5</v>
      </c>
      <c r="B132" s="7">
        <v>12</v>
      </c>
      <c r="C132" s="7">
        <v>7.8</v>
      </c>
      <c r="D132" s="7" t="s">
        <v>19</v>
      </c>
      <c r="E132" s="21">
        <v>2.5192109999999999</v>
      </c>
      <c r="F132" s="25">
        <v>2.8245010000000002</v>
      </c>
      <c r="G132" s="11">
        <v>3.2181799999999998</v>
      </c>
      <c r="L132" s="9">
        <f t="shared" si="9"/>
        <v>12.118476777054415</v>
      </c>
      <c r="M132" s="9">
        <f>((G132-F132)/F132)*100</f>
        <v>13.938001792174958</v>
      </c>
    </row>
    <row r="133" spans="1:15" ht="15" customHeight="1" x14ac:dyDescent="0.3">
      <c r="A133" s="6">
        <v>5</v>
      </c>
      <c r="B133" s="7">
        <v>13</v>
      </c>
      <c r="C133" s="7">
        <v>7.8</v>
      </c>
      <c r="D133" s="7" t="s">
        <v>19</v>
      </c>
      <c r="F133" s="18">
        <v>2.9566150000000002</v>
      </c>
      <c r="G133" s="23">
        <v>3.077588</v>
      </c>
      <c r="M133" s="9">
        <f>((G133-F133)/F133)*100</f>
        <v>4.0916047574675689</v>
      </c>
    </row>
    <row r="134" spans="1:15" ht="15" customHeight="1" x14ac:dyDescent="0.3">
      <c r="A134" s="6">
        <v>5</v>
      </c>
      <c r="B134" s="7">
        <v>14</v>
      </c>
      <c r="C134" s="7">
        <v>7.8</v>
      </c>
      <c r="D134" s="7" t="s">
        <v>19</v>
      </c>
      <c r="E134" s="10">
        <v>2.8530709999999999</v>
      </c>
    </row>
    <row r="135" spans="1:15" ht="15" customHeight="1" x14ac:dyDescent="0.3">
      <c r="A135" s="6">
        <v>5</v>
      </c>
      <c r="B135" s="7">
        <v>15</v>
      </c>
      <c r="C135" s="7">
        <v>7.8</v>
      </c>
      <c r="D135" s="7" t="s">
        <v>19</v>
      </c>
      <c r="E135" s="17">
        <v>3.2202459999999999</v>
      </c>
      <c r="F135" s="15">
        <v>3.8574310000000001</v>
      </c>
      <c r="G135" s="23">
        <v>4.2063100000000002</v>
      </c>
      <c r="H135" s="12">
        <v>4.4334660000000001</v>
      </c>
      <c r="I135" s="44">
        <v>4.7264249999999999</v>
      </c>
      <c r="K135" s="45">
        <v>4.7264249999999999</v>
      </c>
      <c r="L135" s="9">
        <f>((F135-E135)/E135)*100</f>
        <v>19.786842371669746</v>
      </c>
      <c r="M135" s="9">
        <f>((G135-F135)/F135)*100</f>
        <v>9.0443354657542852</v>
      </c>
      <c r="N135" s="9">
        <f>((H135-G135)/G135)*100</f>
        <v>5.4003627882871186</v>
      </c>
      <c r="O135" s="9">
        <f>((I135-H135)/H135)*100</f>
        <v>6.6079000041953577</v>
      </c>
    </row>
    <row r="136" spans="1:15" ht="15" customHeight="1" x14ac:dyDescent="0.3">
      <c r="A136" s="6">
        <v>5</v>
      </c>
      <c r="B136" s="7">
        <v>16</v>
      </c>
      <c r="C136" s="7">
        <v>7.8</v>
      </c>
      <c r="D136" s="7" t="s">
        <v>19</v>
      </c>
      <c r="E136" s="10">
        <v>2.7675670000000001</v>
      </c>
      <c r="F136" s="18">
        <v>3.0913940000000002</v>
      </c>
      <c r="L136" s="9">
        <f>((F136-E136)/E136)*100</f>
        <v>11.700782673012073</v>
      </c>
    </row>
    <row r="137" spans="1:15" ht="15" customHeight="1" x14ac:dyDescent="0.3">
      <c r="A137" s="6">
        <v>5</v>
      </c>
      <c r="B137" s="7">
        <v>17</v>
      </c>
      <c r="C137" s="7">
        <v>7.8</v>
      </c>
      <c r="D137" s="7" t="s">
        <v>19</v>
      </c>
      <c r="E137" s="8">
        <v>3.1008810000000002</v>
      </c>
      <c r="F137" s="18">
        <v>3.6328260000000001</v>
      </c>
      <c r="G137" s="16">
        <v>3.8829500000000001</v>
      </c>
      <c r="L137" s="9">
        <f>((F137-E137)/E137)*100</f>
        <v>17.154640890766203</v>
      </c>
      <c r="M137" s="9">
        <f>((G137-F137)/F137)*100</f>
        <v>6.8851081774904719</v>
      </c>
    </row>
    <row r="138" spans="1:15" ht="15" customHeight="1" x14ac:dyDescent="0.3">
      <c r="A138" s="6">
        <v>5</v>
      </c>
      <c r="B138" s="7">
        <v>18</v>
      </c>
      <c r="C138" s="7">
        <v>7.8</v>
      </c>
      <c r="D138" s="7" t="s">
        <v>19</v>
      </c>
      <c r="E138" s="10">
        <v>2.7435499999999999</v>
      </c>
    </row>
    <row r="139" spans="1:15" ht="15" customHeight="1" x14ac:dyDescent="0.3">
      <c r="A139" s="6">
        <v>5</v>
      </c>
      <c r="B139" s="7">
        <v>19</v>
      </c>
      <c r="C139" s="7">
        <v>7.8</v>
      </c>
      <c r="D139" s="7" t="s">
        <v>19</v>
      </c>
      <c r="E139" s="8">
        <v>3.032654</v>
      </c>
      <c r="F139" s="18">
        <v>3.3993410000000002</v>
      </c>
      <c r="G139" s="43">
        <v>3.6802440000000001</v>
      </c>
      <c r="L139" s="9">
        <f>((F139-E139)/E139)*100</f>
        <v>12.091290335132204</v>
      </c>
      <c r="M139" s="9">
        <f>((G139-F139)/F139)*100</f>
        <v>8.2634545931108381</v>
      </c>
    </row>
    <row r="140" spans="1:15" ht="15" customHeight="1" x14ac:dyDescent="0.3">
      <c r="A140" s="6">
        <v>5</v>
      </c>
      <c r="B140" s="7">
        <v>20</v>
      </c>
      <c r="C140" s="7">
        <v>7.8</v>
      </c>
      <c r="D140" s="7" t="s">
        <v>19</v>
      </c>
      <c r="E140" s="8">
        <v>2.9633060000000002</v>
      </c>
      <c r="F140" s="18">
        <v>3.230648</v>
      </c>
      <c r="L140" s="9">
        <f>((F140-E140)/E140)*100</f>
        <v>9.0217480071244669</v>
      </c>
    </row>
    <row r="141" spans="1:15" ht="15" customHeight="1" x14ac:dyDescent="0.3">
      <c r="A141" s="6">
        <v>5</v>
      </c>
      <c r="B141" s="7">
        <v>21</v>
      </c>
      <c r="C141" s="7">
        <v>7.8</v>
      </c>
      <c r="D141" s="7" t="s">
        <v>19</v>
      </c>
      <c r="E141" s="17">
        <v>3.085242</v>
      </c>
      <c r="F141" s="15">
        <v>3.6714959999999999</v>
      </c>
      <c r="G141" s="12">
        <v>3.8373780000000002</v>
      </c>
      <c r="H141" s="44">
        <v>3.8364210000000001</v>
      </c>
      <c r="K141" s="45">
        <v>3.8364210000000001</v>
      </c>
      <c r="L141" s="9">
        <f>((F141-E141)/E141)*100</f>
        <v>19.001880565608786</v>
      </c>
      <c r="M141" s="9">
        <f>((G141-F141)/F141)*100</f>
        <v>4.5181037920237506</v>
      </c>
      <c r="N141" s="20">
        <f>((H141-G141)/G141)*100</f>
        <v>-2.4938903595113554E-2</v>
      </c>
    </row>
    <row r="142" spans="1:15" ht="15" customHeight="1" x14ac:dyDescent="0.3">
      <c r="A142" s="6">
        <v>5</v>
      </c>
      <c r="B142" s="7">
        <v>22</v>
      </c>
      <c r="C142" s="7">
        <v>7.8</v>
      </c>
      <c r="D142" s="7" t="s">
        <v>19</v>
      </c>
      <c r="F142" s="18">
        <v>3.737333</v>
      </c>
      <c r="G142" s="12">
        <v>3.782651</v>
      </c>
      <c r="H142" s="44">
        <v>3.8573870000000001</v>
      </c>
      <c r="K142" s="45">
        <v>3.8573870000000001</v>
      </c>
      <c r="M142" s="9">
        <f>((G142-F142)/F142)*100</f>
        <v>1.2125759197802275</v>
      </c>
      <c r="N142" s="9">
        <f>((H142-G142)/G142)*100</f>
        <v>1.9757572136578325</v>
      </c>
    </row>
    <row r="143" spans="1:15" ht="15" customHeight="1" x14ac:dyDescent="0.3">
      <c r="A143" s="6">
        <v>5</v>
      </c>
      <c r="B143" s="7">
        <v>23</v>
      </c>
      <c r="C143" s="7">
        <v>7.8</v>
      </c>
      <c r="D143" s="7" t="s">
        <v>19</v>
      </c>
      <c r="E143" s="8">
        <v>3.0889760000000002</v>
      </c>
      <c r="F143" s="15">
        <v>3.626109</v>
      </c>
      <c r="G143" s="11">
        <v>3.8300920000000001</v>
      </c>
      <c r="L143" s="9">
        <f>((F143-E143)/E143)*100</f>
        <v>17.388707455156656</v>
      </c>
      <c r="M143" s="9">
        <f>((G143-F143)/F143)*100</f>
        <v>5.6253962580827004</v>
      </c>
    </row>
    <row r="144" spans="1:15" ht="15" customHeight="1" x14ac:dyDescent="0.3">
      <c r="A144" s="6">
        <v>5</v>
      </c>
      <c r="B144" s="7">
        <v>24</v>
      </c>
      <c r="C144" s="7">
        <v>7.8</v>
      </c>
      <c r="D144" s="7" t="s">
        <v>19</v>
      </c>
      <c r="E144" s="8">
        <v>2.9235509999999998</v>
      </c>
      <c r="F144" s="15">
        <v>3.248685</v>
      </c>
      <c r="G144" s="12">
        <v>3.3700450000000002</v>
      </c>
      <c r="H144" s="44">
        <v>3.2700870000000002</v>
      </c>
      <c r="K144" s="45">
        <v>3.2700870000000002</v>
      </c>
      <c r="L144" s="9">
        <f>((F144-E144)/E144)*100</f>
        <v>11.121201579859569</v>
      </c>
      <c r="M144" s="9">
        <f>((G144-F144)/F144)*100</f>
        <v>3.7356653538277835</v>
      </c>
      <c r="N144" s="20">
        <f>((H144-G144)/G144)*100</f>
        <v>-2.9660731533258455</v>
      </c>
    </row>
    <row r="145" spans="1:16" s="27" customFormat="1" ht="15" customHeight="1" x14ac:dyDescent="0.3">
      <c r="A145" s="26">
        <v>5</v>
      </c>
      <c r="B145" s="27">
        <v>26</v>
      </c>
      <c r="C145" s="27">
        <v>7.8</v>
      </c>
      <c r="D145" s="27" t="s">
        <v>19</v>
      </c>
      <c r="E145" s="53">
        <v>3.0907399999999998</v>
      </c>
      <c r="F145" s="34">
        <v>3.6511399999999998</v>
      </c>
      <c r="G145" s="35">
        <v>3.9221140000000001</v>
      </c>
      <c r="H145" s="36">
        <v>4.0171840000000003</v>
      </c>
      <c r="I145" s="52">
        <v>4.31935</v>
      </c>
      <c r="J145" s="20"/>
      <c r="K145" s="54">
        <v>4.31935</v>
      </c>
      <c r="L145" s="20"/>
      <c r="M145" s="20">
        <f>((G145-F145)/F145)*100</f>
        <v>7.4216272178004754</v>
      </c>
      <c r="N145" s="20">
        <f>((H145-G145)/G145)*100</f>
        <v>2.4239479015653345</v>
      </c>
      <c r="O145" s="20">
        <f>((I145-H145)/H145)*100</f>
        <v>7.5218361917203618</v>
      </c>
      <c r="P145" s="20"/>
    </row>
    <row r="146" spans="1:16" ht="15" customHeight="1" x14ac:dyDescent="0.3">
      <c r="A146" s="6">
        <v>5</v>
      </c>
      <c r="B146" s="7">
        <v>27</v>
      </c>
      <c r="C146" s="7">
        <v>7.8</v>
      </c>
      <c r="D146" s="7" t="s">
        <v>19</v>
      </c>
      <c r="F146" s="18">
        <v>3.7317849999999999</v>
      </c>
      <c r="G146" s="48">
        <v>3.7216209999999998</v>
      </c>
      <c r="H146" s="49">
        <v>4.0477600000000002</v>
      </c>
      <c r="I146" s="44">
        <v>4.4018550000000003</v>
      </c>
      <c r="K146" s="45">
        <v>4.4018550000000003</v>
      </c>
      <c r="M146" s="20">
        <f>((G146-F146)/F146)*100</f>
        <v>-0.27236295767307228</v>
      </c>
      <c r="N146" s="9">
        <f>((H146-G146)/G146)*100</f>
        <v>8.7633587622167983</v>
      </c>
      <c r="O146" s="9">
        <f>((I146-H146)/H146)*100</f>
        <v>8.7479247781489029</v>
      </c>
    </row>
    <row r="147" spans="1:16" s="27" customFormat="1" ht="15" customHeight="1" x14ac:dyDescent="0.3">
      <c r="A147" s="26">
        <v>5</v>
      </c>
      <c r="B147" s="27">
        <v>28</v>
      </c>
      <c r="C147" s="27">
        <v>7.8</v>
      </c>
      <c r="D147" s="27" t="s">
        <v>19</v>
      </c>
      <c r="E147" s="38">
        <v>3.1150090000000001</v>
      </c>
      <c r="F147" s="35">
        <v>3.859553</v>
      </c>
      <c r="G147" s="20"/>
      <c r="H147" s="20"/>
      <c r="I147" s="20"/>
      <c r="J147" s="20"/>
      <c r="K147" s="54"/>
      <c r="L147" s="20">
        <f t="shared" ref="L147:L154" si="10">((F147-E147)/E147)*100</f>
        <v>23.901825002752798</v>
      </c>
      <c r="M147" s="20"/>
      <c r="N147" s="20"/>
      <c r="O147" s="20"/>
      <c r="P147" s="20"/>
    </row>
    <row r="148" spans="1:16" ht="15" customHeight="1" x14ac:dyDescent="0.3">
      <c r="A148" s="6">
        <v>5</v>
      </c>
      <c r="B148" s="7">
        <v>29</v>
      </c>
      <c r="C148" s="7">
        <v>7.8</v>
      </c>
      <c r="D148" s="7" t="s">
        <v>19</v>
      </c>
      <c r="E148" s="8">
        <v>2.9537550000000001</v>
      </c>
      <c r="F148" s="18">
        <v>3.468591</v>
      </c>
      <c r="G148" s="12">
        <v>3.593137</v>
      </c>
      <c r="H148" s="44">
        <v>3.6842079999999999</v>
      </c>
      <c r="L148" s="9">
        <f t="shared" si="10"/>
        <v>17.429881625253273</v>
      </c>
      <c r="M148" s="9">
        <f>((G148-F148)/F148)*100</f>
        <v>3.5906799043184985</v>
      </c>
      <c r="N148" s="9">
        <f>((H148-G148)/G148)*100</f>
        <v>2.5345818987697908</v>
      </c>
    </row>
    <row r="149" spans="1:16" ht="15" customHeight="1" x14ac:dyDescent="0.3">
      <c r="A149" s="6">
        <v>5</v>
      </c>
      <c r="B149" s="7">
        <v>30</v>
      </c>
      <c r="C149" s="7">
        <v>7.8</v>
      </c>
      <c r="D149" s="7" t="s">
        <v>19</v>
      </c>
      <c r="E149" s="47">
        <v>3.071072</v>
      </c>
      <c r="F149" s="15">
        <v>3.7657449999999999</v>
      </c>
      <c r="G149" s="23">
        <v>4.206251</v>
      </c>
      <c r="H149" s="12">
        <v>4.153715</v>
      </c>
      <c r="I149" s="12">
        <v>4.2491260000000004</v>
      </c>
      <c r="L149" s="9">
        <f t="shared" si="10"/>
        <v>22.619886476122993</v>
      </c>
      <c r="M149" s="9">
        <f>((G149-F149)/F149)*100</f>
        <v>11.697711873746099</v>
      </c>
      <c r="N149" s="20">
        <f>((H149-G149)/G149)*100</f>
        <v>-1.248998217177242</v>
      </c>
      <c r="O149" s="9">
        <f>((I149-H149)/H149)*100</f>
        <v>2.2970040072561635</v>
      </c>
    </row>
    <row r="150" spans="1:16" ht="15" customHeight="1" x14ac:dyDescent="0.3">
      <c r="A150" s="6">
        <v>6</v>
      </c>
      <c r="B150" s="7">
        <v>1</v>
      </c>
      <c r="C150" s="7">
        <v>7.8</v>
      </c>
      <c r="D150" s="7" t="s">
        <v>18</v>
      </c>
      <c r="E150" s="17">
        <v>3.1676790000000001</v>
      </c>
      <c r="F150" s="25">
        <v>3.8100230000000002</v>
      </c>
      <c r="L150" s="9">
        <f t="shared" si="10"/>
        <v>20.27806479128725</v>
      </c>
    </row>
    <row r="151" spans="1:16" ht="15" customHeight="1" x14ac:dyDescent="0.3">
      <c r="A151" s="26">
        <v>6</v>
      </c>
      <c r="B151" s="27">
        <v>2</v>
      </c>
      <c r="C151" s="27">
        <v>7.8</v>
      </c>
      <c r="D151" s="27" t="s">
        <v>18</v>
      </c>
      <c r="E151" s="33">
        <v>3.0871189999999999</v>
      </c>
      <c r="F151" s="15">
        <v>3.683713</v>
      </c>
      <c r="L151" s="9">
        <f t="shared" si="10"/>
        <v>19.325267344731451</v>
      </c>
    </row>
    <row r="152" spans="1:16" ht="15" customHeight="1" x14ac:dyDescent="0.3">
      <c r="A152" s="6">
        <v>6</v>
      </c>
      <c r="B152" s="7">
        <v>3</v>
      </c>
      <c r="C152" s="7">
        <v>7.8</v>
      </c>
      <c r="D152" s="7" t="s">
        <v>18</v>
      </c>
      <c r="E152" s="47">
        <v>3.2421950000000002</v>
      </c>
      <c r="F152" s="15">
        <v>3.9492219999999998</v>
      </c>
      <c r="G152" s="23">
        <v>4.0575659999999996</v>
      </c>
      <c r="H152" s="16">
        <v>4.0843999999999996</v>
      </c>
      <c r="L152" s="9">
        <f t="shared" si="10"/>
        <v>21.807047386107239</v>
      </c>
      <c r="M152" s="9">
        <f>((G152-F152)/F152)*100</f>
        <v>2.7434264267746857</v>
      </c>
      <c r="N152" s="9">
        <f>((H152-G152)/G152)*100</f>
        <v>0.6613324342721727</v>
      </c>
    </row>
    <row r="153" spans="1:16" ht="15" customHeight="1" x14ac:dyDescent="0.3">
      <c r="A153" s="6">
        <v>6</v>
      </c>
      <c r="B153" s="7">
        <v>4</v>
      </c>
      <c r="C153" s="7">
        <v>7.8</v>
      </c>
      <c r="D153" s="7" t="s">
        <v>18</v>
      </c>
      <c r="E153" s="47">
        <v>2.971174</v>
      </c>
      <c r="F153" s="25">
        <v>3.5618409999999998</v>
      </c>
      <c r="G153" s="48">
        <v>3.827429</v>
      </c>
      <c r="L153" s="9">
        <f t="shared" si="10"/>
        <v>19.879919520028107</v>
      </c>
      <c r="M153" s="9">
        <f>((G153-F153)/F153)*100</f>
        <v>7.4564810725689377</v>
      </c>
    </row>
    <row r="154" spans="1:16" ht="15" customHeight="1" x14ac:dyDescent="0.3">
      <c r="A154" s="6">
        <v>6</v>
      </c>
      <c r="B154" s="7">
        <v>5</v>
      </c>
      <c r="C154" s="7">
        <v>7.8</v>
      </c>
      <c r="D154" s="7" t="s">
        <v>18</v>
      </c>
      <c r="E154" s="17">
        <v>2.8281000000000001</v>
      </c>
      <c r="F154" s="15">
        <v>3.2424810000000002</v>
      </c>
      <c r="G154" s="23">
        <v>3.2336070000000001</v>
      </c>
      <c r="L154" s="9">
        <f t="shared" si="10"/>
        <v>14.652275379229875</v>
      </c>
      <c r="M154" s="20">
        <f>((G154-F154)/F154)*100</f>
        <v>-0.27367932148253293</v>
      </c>
    </row>
    <row r="155" spans="1:16" ht="15" customHeight="1" x14ac:dyDescent="0.3">
      <c r="A155" s="6">
        <v>6</v>
      </c>
      <c r="B155" s="7">
        <v>6</v>
      </c>
      <c r="C155" s="7">
        <v>7.8</v>
      </c>
      <c r="D155" s="7" t="s">
        <v>18</v>
      </c>
      <c r="E155" s="24">
        <v>3.2573310000000002</v>
      </c>
    </row>
    <row r="156" spans="1:16" ht="15" customHeight="1" x14ac:dyDescent="0.3">
      <c r="A156" s="6">
        <v>6</v>
      </c>
      <c r="B156" s="7">
        <v>7</v>
      </c>
      <c r="C156" s="7">
        <v>7.8</v>
      </c>
      <c r="D156" s="7" t="s">
        <v>18</v>
      </c>
      <c r="E156" s="8">
        <v>3.0661309999999999</v>
      </c>
    </row>
    <row r="157" spans="1:16" ht="15" customHeight="1" x14ac:dyDescent="0.3">
      <c r="A157" s="6">
        <v>6</v>
      </c>
      <c r="B157" s="7">
        <v>8</v>
      </c>
      <c r="C157" s="7">
        <v>7.8</v>
      </c>
      <c r="D157" s="7" t="s">
        <v>18</v>
      </c>
      <c r="E157" s="17">
        <v>2.9663089999999999</v>
      </c>
      <c r="F157" s="15">
        <v>3.442936</v>
      </c>
      <c r="G157" s="16">
        <v>3.1069249999999999</v>
      </c>
      <c r="L157" s="9">
        <f>((F157-E157)/E157)*100</f>
        <v>16.068015840561458</v>
      </c>
      <c r="M157" s="20">
        <f>((G157-F157)/F157)*100</f>
        <v>-9.7594320661203131</v>
      </c>
    </row>
    <row r="158" spans="1:16" ht="15" customHeight="1" x14ac:dyDescent="0.3">
      <c r="A158" s="6">
        <v>6</v>
      </c>
      <c r="B158" s="7">
        <v>9</v>
      </c>
      <c r="C158" s="7">
        <v>7.8</v>
      </c>
      <c r="D158" s="7" t="s">
        <v>18</v>
      </c>
      <c r="E158" s="17">
        <v>2.753695</v>
      </c>
    </row>
    <row r="159" spans="1:16" ht="15" customHeight="1" x14ac:dyDescent="0.3">
      <c r="A159" s="6">
        <v>6</v>
      </c>
      <c r="B159" s="7">
        <v>10</v>
      </c>
      <c r="C159" s="7">
        <v>7.8</v>
      </c>
      <c r="D159" s="7" t="s">
        <v>18</v>
      </c>
      <c r="E159" s="22">
        <v>3.207344</v>
      </c>
      <c r="F159" s="25">
        <v>3.9428049999999999</v>
      </c>
      <c r="G159" s="23">
        <v>4.2193290000000001</v>
      </c>
      <c r="L159" s="9">
        <f>((F159-E159)/E159)*100</f>
        <v>22.930530682084612</v>
      </c>
      <c r="M159" s="9">
        <f>((G159-F159)/F159)*100</f>
        <v>7.013382604516333</v>
      </c>
    </row>
    <row r="160" spans="1:16" ht="15" customHeight="1" x14ac:dyDescent="0.3">
      <c r="A160" s="6">
        <v>6</v>
      </c>
      <c r="B160" s="7">
        <v>11</v>
      </c>
      <c r="C160" s="7">
        <v>7.8</v>
      </c>
      <c r="D160" s="7" t="s">
        <v>18</v>
      </c>
      <c r="E160" s="10">
        <v>2.9266709999999998</v>
      </c>
    </row>
    <row r="161" spans="1:15" ht="15" customHeight="1" x14ac:dyDescent="0.3">
      <c r="A161" s="6">
        <v>6</v>
      </c>
      <c r="B161" s="7">
        <v>12</v>
      </c>
      <c r="C161" s="7">
        <v>7.8</v>
      </c>
      <c r="D161" s="7" t="s">
        <v>18</v>
      </c>
      <c r="E161" s="17">
        <v>3.3316859999999999</v>
      </c>
      <c r="F161" s="25">
        <v>3.8602799999999999</v>
      </c>
      <c r="G161" s="23">
        <v>4.2128620000000003</v>
      </c>
      <c r="L161" s="9">
        <f t="shared" ref="L161:M163" si="11">((F161-E161)/E161)*100</f>
        <v>15.865660809572091</v>
      </c>
      <c r="M161" s="9">
        <f t="shared" si="11"/>
        <v>9.1335861647341758</v>
      </c>
    </row>
    <row r="162" spans="1:15" ht="15" customHeight="1" x14ac:dyDescent="0.3">
      <c r="A162" s="6">
        <v>6</v>
      </c>
      <c r="B162" s="7">
        <v>13</v>
      </c>
      <c r="C162" s="7">
        <v>7.8</v>
      </c>
      <c r="D162" s="7" t="s">
        <v>18</v>
      </c>
      <c r="E162" s="8">
        <v>3.096673</v>
      </c>
      <c r="F162" s="18">
        <v>3.4803709999999999</v>
      </c>
      <c r="G162" s="23">
        <v>3.5121000000000002</v>
      </c>
      <c r="L162" s="9">
        <f t="shared" si="11"/>
        <v>12.390652807060993</v>
      </c>
      <c r="M162" s="9">
        <f t="shared" si="11"/>
        <v>0.91165568268441333</v>
      </c>
    </row>
    <row r="163" spans="1:15" ht="15" customHeight="1" x14ac:dyDescent="0.3">
      <c r="A163" s="6">
        <v>6</v>
      </c>
      <c r="B163" s="7">
        <v>14</v>
      </c>
      <c r="C163" s="7">
        <v>7.8</v>
      </c>
      <c r="D163" s="7" t="s">
        <v>18</v>
      </c>
      <c r="E163" s="17">
        <v>2.9849079999999999</v>
      </c>
      <c r="F163" s="15">
        <v>3.5247830000000002</v>
      </c>
      <c r="G163" s="23">
        <v>3.5144739999999999</v>
      </c>
      <c r="L163" s="9">
        <f t="shared" si="11"/>
        <v>18.08682210640999</v>
      </c>
      <c r="M163" s="20">
        <f t="shared" si="11"/>
        <v>-0.29247190536269452</v>
      </c>
    </row>
    <row r="164" spans="1:15" ht="15" customHeight="1" x14ac:dyDescent="0.3">
      <c r="A164" s="6">
        <v>6</v>
      </c>
      <c r="B164" s="7">
        <v>15</v>
      </c>
      <c r="C164" s="7">
        <v>7.8</v>
      </c>
      <c r="D164" s="7" t="s">
        <v>18</v>
      </c>
      <c r="E164" s="17">
        <v>3.293666</v>
      </c>
      <c r="F164" s="15">
        <v>3.6644670000000001</v>
      </c>
      <c r="H164" s="49">
        <v>3.7626819999999999</v>
      </c>
      <c r="I164" s="44">
        <v>3.9505720000000002</v>
      </c>
      <c r="K164" s="45">
        <v>3.9505720000000002</v>
      </c>
      <c r="L164" s="9">
        <f>((F164-E164)/E164)*100</f>
        <v>11.258002481125899</v>
      </c>
      <c r="O164" s="9">
        <f>((I164-H164)/H164)*100</f>
        <v>4.9935126061676316</v>
      </c>
    </row>
    <row r="165" spans="1:15" ht="15" customHeight="1" x14ac:dyDescent="0.3">
      <c r="A165" s="6">
        <v>6</v>
      </c>
      <c r="B165" s="7">
        <v>16</v>
      </c>
      <c r="C165" s="7">
        <v>7.8</v>
      </c>
      <c r="D165" s="7" t="s">
        <v>18</v>
      </c>
      <c r="G165" s="19">
        <v>3.2362299999999999</v>
      </c>
    </row>
    <row r="166" spans="1:15" ht="15" customHeight="1" x14ac:dyDescent="0.3">
      <c r="A166" s="6">
        <v>6</v>
      </c>
      <c r="B166" s="7">
        <v>17</v>
      </c>
      <c r="C166" s="7">
        <v>7.8</v>
      </c>
      <c r="D166" s="7" t="s">
        <v>18</v>
      </c>
      <c r="E166" s="8">
        <v>3.0680580000000002</v>
      </c>
      <c r="F166" s="15">
        <v>3.4361549999999998</v>
      </c>
      <c r="G166" s="12">
        <v>3.5517259999999999</v>
      </c>
      <c r="L166" s="9">
        <f t="shared" ref="L166:M168" si="12">((F166-E166)/E166)*100</f>
        <v>11.997719730200657</v>
      </c>
      <c r="M166" s="9">
        <f t="shared" si="12"/>
        <v>3.3633814539798141</v>
      </c>
    </row>
    <row r="167" spans="1:15" ht="15" customHeight="1" x14ac:dyDescent="0.3">
      <c r="A167" s="6">
        <v>6</v>
      </c>
      <c r="B167" s="7">
        <v>18</v>
      </c>
      <c r="C167" s="7">
        <v>7.8</v>
      </c>
      <c r="D167" s="7" t="s">
        <v>18</v>
      </c>
      <c r="E167" s="17">
        <v>3.0269919999999999</v>
      </c>
      <c r="F167" s="15">
        <v>3.3971680000000002</v>
      </c>
      <c r="G167" s="18">
        <v>3.3814340000000001</v>
      </c>
      <c r="L167" s="9">
        <f t="shared" si="12"/>
        <v>12.229170080396655</v>
      </c>
      <c r="M167" s="20">
        <f t="shared" si="12"/>
        <v>-0.46315048299054201</v>
      </c>
    </row>
    <row r="168" spans="1:15" ht="15" customHeight="1" x14ac:dyDescent="0.3">
      <c r="A168" s="6">
        <v>6</v>
      </c>
      <c r="B168" s="7">
        <v>19</v>
      </c>
      <c r="C168" s="7">
        <v>7.8</v>
      </c>
      <c r="D168" s="7" t="s">
        <v>18</v>
      </c>
      <c r="E168" s="17">
        <v>3.1466850000000002</v>
      </c>
      <c r="F168" s="15">
        <v>3.7404099999999998</v>
      </c>
      <c r="G168" s="23">
        <v>3.9100410000000001</v>
      </c>
      <c r="L168" s="9">
        <f t="shared" si="12"/>
        <v>18.868269305634328</v>
      </c>
      <c r="M168" s="9">
        <f t="shared" si="12"/>
        <v>4.5350910729037812</v>
      </c>
    </row>
    <row r="169" spans="1:15" ht="15" customHeight="1" x14ac:dyDescent="0.3">
      <c r="A169" s="6">
        <v>6</v>
      </c>
      <c r="B169" s="7">
        <v>20</v>
      </c>
      <c r="C169" s="7">
        <v>7.8</v>
      </c>
      <c r="D169" s="7" t="s">
        <v>18</v>
      </c>
      <c r="E169" s="17">
        <v>3.1164559999999999</v>
      </c>
    </row>
    <row r="170" spans="1:15" ht="15" customHeight="1" x14ac:dyDescent="0.3">
      <c r="A170" s="6">
        <v>6</v>
      </c>
      <c r="B170" s="7">
        <v>21</v>
      </c>
      <c r="C170" s="7">
        <v>7.8</v>
      </c>
      <c r="D170" s="7" t="s">
        <v>18</v>
      </c>
      <c r="E170" s="47">
        <v>3.3043800000000001</v>
      </c>
      <c r="F170" s="25">
        <v>4.1474140000000004</v>
      </c>
      <c r="L170" s="9">
        <f>((F170-E170)/E170)*100</f>
        <v>25.512622640253248</v>
      </c>
    </row>
    <row r="171" spans="1:15" ht="15" customHeight="1" x14ac:dyDescent="0.3">
      <c r="A171" s="6">
        <v>6</v>
      </c>
      <c r="B171" s="7">
        <v>22</v>
      </c>
      <c r="C171" s="7">
        <v>7.8</v>
      </c>
      <c r="D171" s="7" t="s">
        <v>18</v>
      </c>
      <c r="E171" s="55">
        <v>3.383264</v>
      </c>
    </row>
    <row r="172" spans="1:15" ht="15" customHeight="1" x14ac:dyDescent="0.3">
      <c r="A172" s="6">
        <v>6</v>
      </c>
      <c r="B172" s="7">
        <v>23</v>
      </c>
      <c r="C172" s="7">
        <v>7.8</v>
      </c>
      <c r="D172" s="7" t="s">
        <v>18</v>
      </c>
      <c r="E172" s="47">
        <v>3.1712669999999998</v>
      </c>
      <c r="F172" s="25">
        <v>3.8602799999999999</v>
      </c>
      <c r="L172" s="9">
        <f t="shared" ref="L172:L179" si="13">((F172-E172)/E172)*100</f>
        <v>21.726742024559904</v>
      </c>
    </row>
    <row r="173" spans="1:15" ht="15" customHeight="1" x14ac:dyDescent="0.3">
      <c r="A173" s="6">
        <v>6</v>
      </c>
      <c r="B173" s="7">
        <v>24</v>
      </c>
      <c r="C173" s="7">
        <v>7.8</v>
      </c>
      <c r="D173" s="7" t="s">
        <v>18</v>
      </c>
      <c r="E173" s="8">
        <v>2.929106</v>
      </c>
      <c r="F173" s="18">
        <v>3.2993429999999999</v>
      </c>
      <c r="L173" s="9">
        <f t="shared" si="13"/>
        <v>12.639931774404884</v>
      </c>
    </row>
    <row r="174" spans="1:15" ht="15" customHeight="1" x14ac:dyDescent="0.3">
      <c r="A174" s="6">
        <v>6</v>
      </c>
      <c r="B174" s="7">
        <v>25</v>
      </c>
      <c r="C174" s="7">
        <v>7.8</v>
      </c>
      <c r="D174" s="7" t="s">
        <v>18</v>
      </c>
      <c r="E174" s="22">
        <v>3.4287779999999999</v>
      </c>
      <c r="F174" s="25">
        <v>4.1677569999999999</v>
      </c>
      <c r="G174" s="23">
        <v>4.5987980000000004</v>
      </c>
      <c r="H174" s="12">
        <v>4.64351</v>
      </c>
      <c r="L174" s="9">
        <f t="shared" si="13"/>
        <v>21.552255643264161</v>
      </c>
      <c r="M174" s="9">
        <f>((G174-F174)/F174)*100</f>
        <v>10.342277632789063</v>
      </c>
      <c r="N174" s="9">
        <f>((H174-G174)/G174)*100</f>
        <v>0.97225405421154909</v>
      </c>
    </row>
    <row r="175" spans="1:15" ht="15" customHeight="1" x14ac:dyDescent="0.3">
      <c r="A175" s="6">
        <v>6</v>
      </c>
      <c r="B175" s="7">
        <v>26</v>
      </c>
      <c r="C175" s="7">
        <v>7.8</v>
      </c>
      <c r="D175" s="7" t="s">
        <v>18</v>
      </c>
      <c r="E175" s="8">
        <v>3.118595</v>
      </c>
      <c r="F175" s="15">
        <v>3.4504069999999998</v>
      </c>
      <c r="L175" s="9">
        <f t="shared" si="13"/>
        <v>10.639791316281844</v>
      </c>
    </row>
    <row r="176" spans="1:15" ht="15" customHeight="1" x14ac:dyDescent="0.3">
      <c r="A176" s="6">
        <v>6</v>
      </c>
      <c r="B176" s="7">
        <v>27</v>
      </c>
      <c r="C176" s="7">
        <v>7.8</v>
      </c>
      <c r="D176" s="7" t="s">
        <v>18</v>
      </c>
      <c r="E176" s="47">
        <v>3.1745329999999998</v>
      </c>
      <c r="F176" s="25">
        <v>3.9535770000000001</v>
      </c>
      <c r="G176" s="11">
        <v>4.4461579999999996</v>
      </c>
      <c r="L176" s="9">
        <f t="shared" si="13"/>
        <v>24.540428466171253</v>
      </c>
      <c r="M176" s="9">
        <f>((G176-F176)/F176)*100</f>
        <v>12.459122460495887</v>
      </c>
    </row>
    <row r="177" spans="1:12" ht="15" customHeight="1" x14ac:dyDescent="0.3">
      <c r="A177" s="6">
        <v>6</v>
      </c>
      <c r="B177" s="7">
        <v>28</v>
      </c>
      <c r="C177" s="7">
        <v>7.8</v>
      </c>
      <c r="D177" s="7" t="s">
        <v>18</v>
      </c>
      <c r="E177" s="21">
        <v>2.3912</v>
      </c>
      <c r="F177" s="25">
        <v>2.6382150000000002</v>
      </c>
      <c r="L177" s="9">
        <f t="shared" si="13"/>
        <v>10.330168952827041</v>
      </c>
    </row>
    <row r="178" spans="1:12" ht="15" customHeight="1" x14ac:dyDescent="0.3">
      <c r="A178" s="6">
        <v>6</v>
      </c>
      <c r="B178" s="7">
        <v>29</v>
      </c>
      <c r="C178" s="7">
        <v>7.8</v>
      </c>
      <c r="D178" s="7" t="s">
        <v>18</v>
      </c>
      <c r="E178" s="17">
        <v>3.1622180000000002</v>
      </c>
      <c r="F178" s="25">
        <v>3.8369219999999999</v>
      </c>
      <c r="L178" s="9">
        <f t="shared" si="13"/>
        <v>21.336416401399262</v>
      </c>
    </row>
    <row r="179" spans="1:12" ht="15" customHeight="1" x14ac:dyDescent="0.3">
      <c r="A179" s="6">
        <v>6</v>
      </c>
      <c r="B179" s="7">
        <v>30</v>
      </c>
      <c r="C179" s="7">
        <v>7.8</v>
      </c>
      <c r="D179" s="7" t="s">
        <v>18</v>
      </c>
      <c r="E179" s="17">
        <v>3.0836299999999999</v>
      </c>
      <c r="F179" s="18">
        <v>3.6646899999999998</v>
      </c>
      <c r="L179" s="9">
        <f t="shared" si="13"/>
        <v>18.843376150835216</v>
      </c>
    </row>
    <row r="180" spans="1:12" ht="15" customHeight="1" x14ac:dyDescent="0.3"/>
    <row r="181" spans="1:12" ht="1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2016-07-14T23:24:49Z</dcterms:modified>
</cp:coreProperties>
</file>